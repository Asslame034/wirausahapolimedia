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rfologi desain " sheetId="1" r:id="rId4"/>
    <sheet state="visible" name="Perhitungan Kontras" sheetId="2" r:id="rId5"/>
    <sheet state="visible" name="SUS data" sheetId="3" r:id="rId6"/>
    <sheet state="visible" name="kompilasi data" sheetId="4" r:id="rId7"/>
    <sheet state="hidden" name="Analisis Regresi (2)" sheetId="5" r:id="rId8"/>
    <sheet state="hidden" name="Sheet2" sheetId="6" r:id="rId9"/>
    <sheet state="visible" name="Analisis Regresi(revised)" sheetId="7" r:id="rId10"/>
    <sheet state="visible" name="INterpretasi" sheetId="8" r:id="rId11"/>
  </sheets>
  <definedNames/>
  <calcPr/>
  <extLst>
    <ext uri="GoogleSheetsCustomDataVersion2">
      <go:sheetsCustomData xmlns:go="http://customooxmlschemas.google.com/" r:id="rId12" roundtripDataChecksum="e/XGjscUicylG/Nk8sZazTtyR0HA506bVdFDKFnOG6c="/>
    </ext>
  </extLst>
</workbook>
</file>

<file path=xl/sharedStrings.xml><?xml version="1.0" encoding="utf-8"?>
<sst xmlns="http://schemas.openxmlformats.org/spreadsheetml/2006/main" count="1544" uniqueCount="418">
  <si>
    <t>🟡 LANGKAH 1 : BENTUK MORFOLOGI DESAIN USER INTERFACE NAVIGATION BAR</t>
  </si>
  <si>
    <t>Kode Elemen (Xi)</t>
  </si>
  <si>
    <t>Nama Elemen</t>
  </si>
  <si>
    <t>Kategori (Xij)</t>
  </si>
  <si>
    <t>Kode Dummy</t>
  </si>
  <si>
    <t>X1</t>
  </si>
  <si>
    <t>Text</t>
  </si>
  <si>
    <t>Terang</t>
  </si>
  <si>
    <t>X1.1</t>
  </si>
  <si>
    <t>Gelap</t>
  </si>
  <si>
    <t>X1.2</t>
  </si>
  <si>
    <t>Netral</t>
  </si>
  <si>
    <t>X1.3</t>
  </si>
  <si>
    <t>X2</t>
  </si>
  <si>
    <t>Logo</t>
  </si>
  <si>
    <t>X2.1</t>
  </si>
  <si>
    <t>X2.2</t>
  </si>
  <si>
    <t>X2.3</t>
  </si>
  <si>
    <t>X3</t>
  </si>
  <si>
    <t>Icon</t>
  </si>
  <si>
    <t>X3.1</t>
  </si>
  <si>
    <t>X3.2</t>
  </si>
  <si>
    <t>X3.3</t>
  </si>
  <si>
    <t>X4</t>
  </si>
  <si>
    <t>Search Bar</t>
  </si>
  <si>
    <t>X4.1</t>
  </si>
  <si>
    <t>X4.2</t>
  </si>
  <si>
    <t>X4.3</t>
  </si>
  <si>
    <t>X5</t>
  </si>
  <si>
    <t>Button</t>
  </si>
  <si>
    <t>X5.1</t>
  </si>
  <si>
    <t>X5.2</t>
  </si>
  <si>
    <t>X5.3</t>
  </si>
  <si>
    <t>X6</t>
  </si>
  <si>
    <t>Rasio Kontras Warna</t>
  </si>
  <si>
    <t>&lt; 3.0:1</t>
  </si>
  <si>
    <t>X6.1</t>
  </si>
  <si>
    <t>3.0–6.9:1</t>
  </si>
  <si>
    <t>X6.2</t>
  </si>
  <si>
    <t>≥ 7.0:1</t>
  </si>
  <si>
    <t>X6.3</t>
  </si>
  <si>
    <t>🟡 LANGKAH 2 : HITUNG NILAI FEATURE BERDASARKAN STANDAR, DAN MERUBAHNYA MENJADI VARIABEL DUMMY</t>
  </si>
  <si>
    <t xml:space="preserve">ELEMEN Desain 1 : Text </t>
  </si>
  <si>
    <t>Sample</t>
  </si>
  <si>
    <t>BG_Color (Hex)</t>
  </si>
  <si>
    <t>foreground_Text_Color (Hex)</t>
  </si>
  <si>
    <t>R_BG</t>
  </si>
  <si>
    <t>G_BG</t>
  </si>
  <si>
    <t>B_BG</t>
  </si>
  <si>
    <t>R_Text</t>
  </si>
  <si>
    <t>G_Text</t>
  </si>
  <si>
    <t>B_Text</t>
  </si>
  <si>
    <t>Luminance_BG</t>
  </si>
  <si>
    <t>Luminance_foreground_Text</t>
  </si>
  <si>
    <t>Contrast Lighter</t>
  </si>
  <si>
    <t>Contrast Darker</t>
  </si>
  <si>
    <t>Contrast Formula_UP</t>
  </si>
  <si>
    <t>Contrast_Ratio_Down</t>
  </si>
  <si>
    <t>Contrast_Ratio</t>
  </si>
  <si>
    <t>Contrast_Ratio_Manual</t>
  </si>
  <si>
    <t>Category</t>
  </si>
  <si>
    <t>Elemen_1_Dummy_Low /X11</t>
  </si>
  <si>
    <t>Elemen_1_Dummy_Med /X12</t>
  </si>
  <si>
    <t>Elemen_1_Dummy_High /X13</t>
  </si>
  <si>
    <t>coursera</t>
  </si>
  <si>
    <t>#3f6cd4</t>
  </si>
  <si>
    <t>#FFFFFF</t>
  </si>
  <si>
    <t>1,5:1</t>
  </si>
  <si>
    <t>edx</t>
  </si>
  <si>
    <t>#575757</t>
  </si>
  <si>
    <t>1,1 :1</t>
  </si>
  <si>
    <t>udemy</t>
  </si>
  <si>
    <t>#313245</t>
  </si>
  <si>
    <t>2,92:1</t>
  </si>
  <si>
    <t>khan</t>
  </si>
  <si>
    <t>#1865f2</t>
  </si>
  <si>
    <t>3:1</t>
  </si>
  <si>
    <t>Linkedin Learning</t>
  </si>
  <si>
    <t>#404040</t>
  </si>
  <si>
    <t xml:space="preserve">2,1:1 </t>
  </si>
  <si>
    <t>Futurelearn</t>
  </si>
  <si>
    <t>#de00a6</t>
  </si>
  <si>
    <t>1,06:1</t>
  </si>
  <si>
    <t>Alison</t>
  </si>
  <si>
    <t>#49545c</t>
  </si>
  <si>
    <t xml:space="preserve"> 1,15:1</t>
  </si>
  <si>
    <t>Campus Quipper</t>
  </si>
  <si>
    <t>#0c2745</t>
  </si>
  <si>
    <t>1,6 :1</t>
  </si>
  <si>
    <t>KelasKita</t>
  </si>
  <si>
    <t>#363e40</t>
  </si>
  <si>
    <t>1,27:1</t>
  </si>
  <si>
    <t>Sekolahmu</t>
  </si>
  <si>
    <t>#4b25b3</t>
  </si>
  <si>
    <t>1,25:1</t>
  </si>
  <si>
    <t>ELEMEN Desain 2 : Logo</t>
  </si>
  <si>
    <t>Elemen_2_Dummy_Low</t>
  </si>
  <si>
    <t>Elemen_2_Dummy_Med</t>
  </si>
  <si>
    <t>Elemen_2_Dummy_High</t>
  </si>
  <si>
    <t>#0057d1</t>
  </si>
  <si>
    <t>2,99:1</t>
  </si>
  <si>
    <t>#02272b</t>
  </si>
  <si>
    <t>1,53:1</t>
  </si>
  <si>
    <t>#000000</t>
  </si>
  <si>
    <t>1,37:1</t>
  </si>
  <si>
    <t>#0a2a66</t>
  </si>
  <si>
    <t>3,18:1</t>
  </si>
  <si>
    <t>#0a66c2</t>
  </si>
  <si>
    <t>7,3:1</t>
  </si>
  <si>
    <t>#1c1c1a</t>
  </si>
  <si>
    <t>2,45:1</t>
  </si>
  <si>
    <t>#475159</t>
  </si>
  <si>
    <t>5,76:1</t>
  </si>
  <si>
    <t>#09b4e3</t>
  </si>
  <si>
    <t>2,3:1</t>
  </si>
  <si>
    <t>#00374f</t>
  </si>
  <si>
    <t>7,69:1</t>
  </si>
  <si>
    <t>#2224b3</t>
  </si>
  <si>
    <t>4,25:1</t>
  </si>
  <si>
    <t>ELEMEN Desain 3 : Icon</t>
  </si>
  <si>
    <t>Elemen_3_Dummy_Low</t>
  </si>
  <si>
    <t>Elemen_3_Dummy_Med</t>
  </si>
  <si>
    <t>Elemen_3_Dummy_High</t>
  </si>
  <si>
    <t>#80abe8</t>
  </si>
  <si>
    <t>1,14:1</t>
  </si>
  <si>
    <t>#00262b</t>
  </si>
  <si>
    <t>#2b2c40</t>
  </si>
  <si>
    <t>4,7:1</t>
  </si>
  <si>
    <t>12,3:1</t>
  </si>
  <si>
    <t>#3b3c3d</t>
  </si>
  <si>
    <t>#edf3f7</t>
  </si>
  <si>
    <t xml:space="preserve">12,02:1 </t>
  </si>
  <si>
    <t>4,12:1</t>
  </si>
  <si>
    <t>#555f66</t>
  </si>
  <si>
    <t>4,57:1</t>
  </si>
  <si>
    <t>#6c8fbd</t>
  </si>
  <si>
    <t>2,2 :1</t>
  </si>
  <si>
    <t>#757575</t>
  </si>
  <si>
    <t>3,45:1</t>
  </si>
  <si>
    <t>#c2c2c2</t>
  </si>
  <si>
    <t>ELEMEN Desain 4 :  Search Bar</t>
  </si>
  <si>
    <t>Elemen_4_Dummy_Low</t>
  </si>
  <si>
    <t>Elemen_4_Dummy_Med</t>
  </si>
  <si>
    <t>Elemen_4_Dummy_High</t>
  </si>
  <si>
    <t>#e9eef7</t>
  </si>
  <si>
    <t>2,06:1</t>
  </si>
  <si>
    <t>#454545</t>
  </si>
  <si>
    <t>1,08:1</t>
  </si>
  <si>
    <t>#9093ab</t>
  </si>
  <si>
    <t>1,15:1</t>
  </si>
  <si>
    <t>#909296</t>
  </si>
  <si>
    <t>3,84:1</t>
  </si>
  <si>
    <t>1:1</t>
  </si>
  <si>
    <t>#cacacc</t>
  </si>
  <si>
    <t>#b2bcbf</t>
  </si>
  <si>
    <t>#e4ecf5</t>
  </si>
  <si>
    <t>1,77:1</t>
  </si>
  <si>
    <t>#bfbfbf</t>
  </si>
  <si>
    <t>18,26:1</t>
  </si>
  <si>
    <t>#e0e0e0</t>
  </si>
  <si>
    <t>2,89:1</t>
  </si>
  <si>
    <t>ELEMEN Desain 5 : Button</t>
  </si>
  <si>
    <t>Elemen_5_Dummy_Low</t>
  </si>
  <si>
    <t>Elemen_5_Dummy_Med</t>
  </si>
  <si>
    <t>Elemen_5_Dummy_High</t>
  </si>
  <si>
    <t>#0057d9</t>
  </si>
  <si>
    <t>#d64000</t>
  </si>
  <si>
    <t>#6b28d1</t>
  </si>
  <si>
    <t>1,22:1</t>
  </si>
  <si>
    <t>1,11:1</t>
  </si>
  <si>
    <t>#3782cc</t>
  </si>
  <si>
    <t>1,02:1</t>
  </si>
  <si>
    <t>#009c5d</t>
  </si>
  <si>
    <t>#00c3c9</t>
  </si>
  <si>
    <t>1,16:1</t>
  </si>
  <si>
    <t>#32fca8</t>
  </si>
  <si>
    <t>1,41:1</t>
  </si>
  <si>
    <t>#2426b3</t>
  </si>
  <si>
    <t>1,05:1</t>
  </si>
  <si>
    <t>BENCHMARKING 1 : Coursera</t>
  </si>
  <si>
    <t>🟡 LANGKAH 3 : KOMPILASI NILAI SUS DARI 10 LINK GFORM BENCHMARKING</t>
  </si>
  <si>
    <t>No</t>
  </si>
  <si>
    <t>Reponden</t>
  </si>
  <si>
    <t>Usia</t>
  </si>
  <si>
    <t>Jenis Kelamin</t>
  </si>
  <si>
    <t>Skor Asli</t>
  </si>
  <si>
    <t>Skor Hasil Hitung</t>
  </si>
  <si>
    <t>Jumlah</t>
  </si>
  <si>
    <t>Nilai (Jumlah x 2.5)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</si>
  <si>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</si>
  <si>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</si>
  <si>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</si>
  <si>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</si>
  <si>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</si>
  <si>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</si>
  <si>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</si>
  <si>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</si>
  <si>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</si>
  <si>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</si>
  <si>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U1</t>
  </si>
  <si>
    <t>Perempuan</t>
  </si>
  <si>
    <t>U2</t>
  </si>
  <si>
    <t>Laki-laki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</si>
  <si>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</si>
  <si>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</si>
  <si>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</si>
  <si>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</si>
  <si>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</si>
  <si>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</si>
  <si>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</si>
  <si>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</si>
  <si>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</si>
  <si>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</si>
  <si>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</si>
  <si>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</si>
  <si>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</si>
  <si>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</si>
  <si>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</si>
  <si>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</si>
  <si>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</si>
  <si>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</si>
  <si>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</si>
  <si>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</si>
  <si>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</si>
  <si>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</si>
  <si>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</si>
  <si>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Rata-rata Umur</t>
  </si>
  <si>
    <t>Skor Rata-rata (Hasil Akhir)</t>
  </si>
  <si>
    <t>BENCHAMRKING 2 : EDX</t>
  </si>
  <si>
    <t>BENCHAMRKING 3 : Udemy</t>
  </si>
  <si>
    <t>BENCHAMRKING 4 : Khan Academy</t>
  </si>
  <si>
    <t>BENCHAMRKING 5 : Linkedin Learning</t>
  </si>
  <si>
    <t>BENCHAMRKING 6 : FutureLearn</t>
  </si>
  <si>
    <t>BENCHMARKING 7 : Alison</t>
  </si>
  <si>
    <t>Laki Laki</t>
  </si>
  <si>
    <t>BENCHMARKING 8 : Campus Quipper</t>
  </si>
  <si>
    <t>BENCHAMRKING 9 : Kelaskita</t>
  </si>
  <si>
    <t>BENCHAMRKING 10 : Sekolahmu</t>
  </si>
  <si>
    <t>🟡 LANGKAH 4 : KOMPILASI DATA SUS DAN FEATURE</t>
  </si>
  <si>
    <t>Kompilasi Data</t>
  </si>
  <si>
    <t>BENCHMARKING</t>
  </si>
  <si>
    <t>Elemen_1_Dummy_Low</t>
  </si>
  <si>
    <t>Elemen_1_Dummy_Med</t>
  </si>
  <si>
    <t>Elemen_1_Dummy_High</t>
  </si>
  <si>
    <t>Y (SUS)</t>
  </si>
  <si>
    <t>🟡 LANGKAH 5. Jalankan Analisis Regresi Linier di Excel</t>
  </si>
  <si>
    <t>duolingo</t>
  </si>
  <si>
    <r>
      <rPr>
        <rFont val="Arial"/>
        <color theme="1"/>
      </rPr>
      <t xml:space="preserve">Gunakan fitur </t>
    </r>
    <r>
      <rPr>
        <rFont val="Calibri"/>
        <b/>
        <color theme="1"/>
        <sz val="11.0"/>
      </rPr>
      <t>Data Analysis → Regression</t>
    </r>
    <r>
      <rPr>
        <rFont val="Calibri"/>
        <color theme="1"/>
        <sz val="11.0"/>
      </rPr>
      <t xml:space="preserve"> di Excel:</t>
    </r>
  </si>
  <si>
    <t>ruang guru</t>
  </si>
  <si>
    <t>pahamify</t>
  </si>
  <si>
    <t>Cara Mengaktifkan Add-In:</t>
  </si>
  <si>
    <t>kahoot</t>
  </si>
  <si>
    <t>quiziz</t>
  </si>
  <si>
    <r>
      <rPr>
        <rFont val="Calibri"/>
        <color theme="1"/>
        <sz val="11.0"/>
      </rPr>
      <t xml:space="preserve">1. Klik </t>
    </r>
    <r>
      <rPr>
        <rFont val="Arial Unicode MS"/>
        <color theme="1"/>
        <sz val="10.0"/>
      </rPr>
      <t>File → Options → Add-ins</t>
    </r>
  </si>
  <si>
    <t>busuu</t>
  </si>
  <si>
    <t>quizlet</t>
  </si>
  <si>
    <r>
      <rPr>
        <rFont val="Calibri"/>
        <color theme="1"/>
        <sz val="11.0"/>
      </rPr>
      <t xml:space="preserve">2. Pilih </t>
    </r>
    <r>
      <rPr>
        <rFont val="Arial Unicode MS"/>
        <color theme="1"/>
        <sz val="10.0"/>
      </rPr>
      <t>Analysis ToolPak</t>
    </r>
    <r>
      <rPr>
        <rFont val="Calibri"/>
        <color theme="1"/>
        <sz val="11.0"/>
      </rPr>
      <t xml:space="preserve">, klik </t>
    </r>
    <r>
      <rPr>
        <rFont val="Calibri"/>
        <b/>
        <color theme="1"/>
        <sz val="11.0"/>
      </rPr>
      <t>Go...</t>
    </r>
    <r>
      <rPr>
        <rFont val="Calibri"/>
        <color theme="1"/>
        <sz val="11.0"/>
      </rPr>
      <t xml:space="preserve"> → centang </t>
    </r>
    <r>
      <rPr>
        <rFont val="Arial Unicode MS"/>
        <color theme="1"/>
        <sz val="10.0"/>
      </rPr>
      <t>Analysis ToolPak</t>
    </r>
    <r>
      <rPr>
        <rFont val="Calibri"/>
        <color theme="1"/>
        <sz val="11.0"/>
      </rPr>
      <t xml:space="preserve"> → OK</t>
    </r>
  </si>
  <si>
    <t>skuling</t>
  </si>
  <si>
    <t>englishscore</t>
  </si>
  <si>
    <t>Cara Menjalankan:</t>
  </si>
  <si>
    <t>quipper</t>
  </si>
  <si>
    <r>
      <rPr>
        <rFont val="Calibri"/>
        <color theme="1"/>
        <sz val="11.0"/>
      </rPr>
      <t xml:space="preserve">1. Klik </t>
    </r>
    <r>
      <rPr>
        <rFont val="Arial Unicode MS"/>
        <color theme="1"/>
        <sz val="10.0"/>
      </rPr>
      <t>Data</t>
    </r>
    <r>
      <rPr>
        <rFont val="Calibri"/>
        <color theme="1"/>
        <sz val="11.0"/>
      </rPr>
      <t xml:space="preserve"> → </t>
    </r>
    <r>
      <rPr>
        <rFont val="Arial Unicode MS"/>
        <color theme="1"/>
        <sz val="10.0"/>
      </rPr>
      <t>Data Analysis</t>
    </r>
    <r>
      <rPr>
        <rFont val="Calibri"/>
        <color theme="1"/>
        <sz val="11.0"/>
      </rPr>
      <t xml:space="preserve"> → pilih </t>
    </r>
    <r>
      <rPr>
        <rFont val="Arial Unicode MS"/>
        <color theme="1"/>
        <sz val="10.0"/>
      </rPr>
      <t>Regression</t>
    </r>
  </si>
  <si>
    <r>
      <rPr>
        <rFont val="Calibri"/>
        <b/>
        <color theme="1"/>
        <sz val="11.0"/>
      </rPr>
      <t>2. Y Range</t>
    </r>
    <r>
      <rPr>
        <rFont val="Calibri"/>
        <b val="0"/>
        <color theme="1"/>
        <sz val="11.0"/>
      </rPr>
      <t xml:space="preserve"> = kolom </t>
    </r>
    <r>
      <rPr>
        <rFont val="Arial Unicode MS"/>
        <b val="0"/>
        <color theme="1"/>
        <sz val="10.0"/>
      </rPr>
      <t>SUS_Score</t>
    </r>
  </si>
  <si>
    <r>
      <rPr>
        <rFont val="Calibri"/>
        <b/>
        <color theme="1"/>
        <sz val="11.0"/>
      </rPr>
      <t>3. X Range</t>
    </r>
    <r>
      <rPr>
        <rFont val="Calibri"/>
        <b val="0"/>
        <color theme="1"/>
        <sz val="11.0"/>
      </rPr>
      <t xml:space="preserve"> = semua kolom dummy (kecuali 1 dummy per elemen)</t>
    </r>
  </si>
  <si>
    <r>
      <rPr>
        <rFont val="Calibri"/>
        <color theme="1"/>
        <sz val="11.0"/>
      </rPr>
      <t xml:space="preserve">4. Centang </t>
    </r>
    <r>
      <rPr>
        <rFont val="Arial Unicode MS"/>
        <color theme="1"/>
        <sz val="10.0"/>
      </rPr>
      <t>Labels</t>
    </r>
    <r>
      <rPr>
        <rFont val="Calibri"/>
        <color theme="1"/>
        <sz val="11.0"/>
      </rPr>
      <t>, pilih output ke new sheet</t>
    </r>
  </si>
  <si>
    <t>Salin Koefisien dari Hasil Regresi</t>
  </si>
  <si>
    <t>Dari output regresi:</t>
  </si>
  <si>
    <t>Coefficients</t>
  </si>
  <si>
    <t>Nilai</t>
  </si>
  <si>
    <t>Intercept</t>
  </si>
  <si>
    <t>...</t>
  </si>
  <si>
    <t>Elemen_1_Low</t>
  </si>
  <si>
    <t>2.3</t>
  </si>
  <si>
    <t>Elemen_1_Med</t>
  </si>
  <si>
    <t>-1.5</t>
  </si>
  <si>
    <t>Elemen_2_Low</t>
  </si>
  <si>
    <t>0.8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</si>
  <si>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</si>
  <si>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</si>
  <si>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</si>
  <si>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</si>
  <si>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</si>
  <si>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</si>
  <si>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</si>
  <si>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</si>
  <si>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</si>
  <si>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</si>
  <si>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</si>
  <si>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</si>
  <si>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</si>
  <si>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</si>
  <si>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</si>
  <si>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</si>
  <si>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t Stat</t>
  </si>
  <si>
    <t>P-value</t>
  </si>
  <si>
    <t>Lower 95%</t>
  </si>
  <si>
    <t>Upper 95%</t>
  </si>
  <si>
    <t>Lower 95.0%</t>
  </si>
  <si>
    <t>Upper 95.0%</t>
  </si>
  <si>
    <t>Sampel</t>
  </si>
  <si>
    <t>Text_Low</t>
  </si>
  <si>
    <t>Text_Med</t>
  </si>
  <si>
    <t xml:space="preserve"> Level Bar_Low</t>
  </si>
  <si>
    <t>Level Bar_Med</t>
  </si>
  <si>
    <t>Button_Low</t>
  </si>
  <si>
    <t>Button_Med</t>
  </si>
  <si>
    <t>Card_Low</t>
  </si>
  <si>
    <t>Card_Med</t>
  </si>
  <si>
    <t>Icon_Low</t>
  </si>
  <si>
    <t>Icon_Med</t>
  </si>
  <si>
    <t>Text_High</t>
  </si>
  <si>
    <t>Logo_Low</t>
  </si>
  <si>
    <t>Logo_Med</t>
  </si>
  <si>
    <t>Logo_High</t>
  </si>
  <si>
    <t>Icon_High</t>
  </si>
  <si>
    <t>Seaarch Bar_Low</t>
  </si>
  <si>
    <t>Search Bar_Med</t>
  </si>
  <si>
    <t>Button_High</t>
  </si>
  <si>
    <t>SUS_Score</t>
  </si>
  <si>
    <r>
      <rPr>
        <rFont val="Arial"/>
        <color theme="1"/>
      </rPr>
      <t xml:space="preserve">Gunakan fitur </t>
    </r>
    <r>
      <rPr>
        <rFont val="Calibri"/>
        <b/>
        <color theme="1"/>
        <sz val="11.0"/>
      </rPr>
      <t>Data Analysis → Regression</t>
    </r>
    <r>
      <rPr>
        <rFont val="Calibri"/>
        <color theme="1"/>
        <sz val="11.0"/>
      </rPr>
      <t xml:space="preserve"> di Excel:</t>
    </r>
  </si>
  <si>
    <r>
      <rPr>
        <rFont val="Calibri"/>
        <color theme="1"/>
        <sz val="11.0"/>
      </rPr>
      <t xml:space="preserve">1. Klik </t>
    </r>
    <r>
      <rPr>
        <rFont val="Arial Unicode MS"/>
        <color theme="1"/>
        <sz val="10.0"/>
      </rPr>
      <t>File → Options → Add-ins</t>
    </r>
  </si>
  <si>
    <r>
      <rPr>
        <rFont val="Calibri"/>
        <color theme="1"/>
        <sz val="11.0"/>
      </rPr>
      <t xml:space="preserve">2. Pilih </t>
    </r>
    <r>
      <rPr>
        <rFont val="Arial Unicode MS"/>
        <color theme="1"/>
        <sz val="10.0"/>
      </rPr>
      <t>Analysis ToolPak</t>
    </r>
    <r>
      <rPr>
        <rFont val="Calibri"/>
        <color theme="1"/>
        <sz val="11.0"/>
      </rPr>
      <t xml:space="preserve">, klik </t>
    </r>
    <r>
      <rPr>
        <rFont val="Calibri"/>
        <b/>
        <color theme="1"/>
        <sz val="11.0"/>
      </rPr>
      <t>Go...</t>
    </r>
    <r>
      <rPr>
        <rFont val="Calibri"/>
        <color theme="1"/>
        <sz val="11.0"/>
      </rPr>
      <t xml:space="preserve"> → centang </t>
    </r>
    <r>
      <rPr>
        <rFont val="Arial Unicode MS"/>
        <color theme="1"/>
        <sz val="10.0"/>
      </rPr>
      <t>Analysis ToolPak</t>
    </r>
    <r>
      <rPr>
        <rFont val="Calibri"/>
        <color theme="1"/>
        <sz val="11.0"/>
      </rPr>
      <t xml:space="preserve"> → OK</t>
    </r>
  </si>
  <si>
    <r>
      <rPr>
        <rFont val="Calibri"/>
        <color theme="1"/>
        <sz val="11.0"/>
      </rPr>
      <t xml:space="preserve">1. Klik </t>
    </r>
    <r>
      <rPr>
        <rFont val="Arial Unicode MS"/>
        <color theme="1"/>
        <sz val="10.0"/>
      </rPr>
      <t>Data</t>
    </r>
    <r>
      <rPr>
        <rFont val="Calibri"/>
        <color theme="1"/>
        <sz val="11.0"/>
      </rPr>
      <t xml:space="preserve"> → </t>
    </r>
    <r>
      <rPr>
        <rFont val="Arial Unicode MS"/>
        <color theme="1"/>
        <sz val="10.0"/>
      </rPr>
      <t>Data Analysis</t>
    </r>
    <r>
      <rPr>
        <rFont val="Calibri"/>
        <color theme="1"/>
        <sz val="11.0"/>
      </rPr>
      <t xml:space="preserve"> → pilih </t>
    </r>
    <r>
      <rPr>
        <rFont val="Arial Unicode MS"/>
        <color theme="1"/>
        <sz val="10.0"/>
      </rPr>
      <t>Regression</t>
    </r>
  </si>
  <si>
    <r>
      <rPr>
        <rFont val="Calibri"/>
        <b/>
        <color theme="1"/>
        <sz val="11.0"/>
      </rPr>
      <t>2. Y Range</t>
    </r>
    <r>
      <rPr>
        <rFont val="Calibri"/>
        <b val="0"/>
        <color theme="1"/>
        <sz val="11.0"/>
      </rPr>
      <t xml:space="preserve"> = kolom </t>
    </r>
    <r>
      <rPr>
        <rFont val="Arial Unicode MS"/>
        <b val="0"/>
        <color theme="1"/>
        <sz val="10.0"/>
      </rPr>
      <t>SUS_Score</t>
    </r>
  </si>
  <si>
    <r>
      <rPr>
        <rFont val="Calibri"/>
        <b/>
        <color theme="1"/>
        <sz val="11.0"/>
      </rPr>
      <t>3. X Range</t>
    </r>
    <r>
      <rPr>
        <rFont val="Calibri"/>
        <b val="0"/>
        <color theme="1"/>
        <sz val="11.0"/>
      </rPr>
      <t xml:space="preserve"> = semua kolom dummy (kecuali 1 dummy per elemen)</t>
    </r>
  </si>
  <si>
    <r>
      <rPr>
        <rFont val="Calibri"/>
        <color theme="1"/>
        <sz val="11.0"/>
      </rPr>
      <t xml:space="preserve">4. Centang </t>
    </r>
    <r>
      <rPr>
        <rFont val="Arial Unicode MS"/>
        <color theme="1"/>
        <sz val="10.0"/>
      </rPr>
      <t>Labels</t>
    </r>
    <r>
      <rPr>
        <rFont val="Calibri"/>
        <color theme="1"/>
        <sz val="11.0"/>
      </rPr>
      <t>, pilih output ke new sheet</t>
    </r>
  </si>
  <si>
    <t>INTERPRETASI</t>
  </si>
  <si>
    <t>A</t>
  </si>
  <si>
    <t>Statistik</t>
  </si>
  <si>
    <t>Makna</t>
  </si>
  <si>
    <r>
      <rPr>
        <rFont val="Calibri"/>
        <color theme="1"/>
        <sz val="11.0"/>
      </rPr>
      <t xml:space="preserve">Korelasi antara nilai </t>
    </r>
    <r>
      <rPr>
        <rFont val="Calibri"/>
        <b/>
        <color theme="1"/>
        <sz val="11.0"/>
      </rPr>
      <t>prediksi model (Ŷ)</t>
    </r>
    <r>
      <rPr>
        <rFont val="Calibri"/>
        <color theme="1"/>
        <sz val="11.0"/>
      </rPr>
      <t xml:space="preserve"> dan </t>
    </r>
    <r>
      <rPr>
        <rFont val="Calibri"/>
        <b/>
        <color theme="1"/>
        <sz val="11.0"/>
      </rPr>
      <t>nilai aktual (Y)</t>
    </r>
  </si>
  <si>
    <t>Validasi model multivariat</t>
  </si>
  <si>
    <t>R Square (R²)</t>
  </si>
  <si>
    <r>
      <rPr>
        <rFont val="Calibri"/>
        <color theme="1"/>
        <sz val="11.0"/>
      </rPr>
      <t xml:space="preserve">Model menjelaskan </t>
    </r>
    <r>
      <rPr>
        <rFont val="Calibri"/>
        <b/>
        <color theme="1"/>
        <sz val="11.0"/>
      </rPr>
      <t>76,2% variasi</t>
    </r>
    <r>
      <rPr>
        <rFont val="Calibri"/>
        <color theme="1"/>
        <sz val="11.0"/>
      </rPr>
      <t xml:space="preserve"> dalam data Y</t>
    </r>
  </si>
  <si>
    <t>1. Menghitung R² dan Adjusted R² dalam QTT1</t>
  </si>
  <si>
    <t>🔍 Interpretasi:</t>
  </si>
  <si>
    <r>
      <rPr>
        <rFont val="Calibri"/>
        <color theme="1"/>
        <sz val="11.0"/>
      </rPr>
      <t xml:space="preserve">R² yang </t>
    </r>
    <r>
      <rPr>
        <rFont val="Calibri"/>
        <b/>
        <color theme="1"/>
        <sz val="11.0"/>
      </rPr>
      <t>dikoreksi terhadap jumlah variabel</t>
    </r>
    <r>
      <rPr>
        <rFont val="Calibri"/>
        <color theme="1"/>
        <sz val="11.0"/>
      </rPr>
      <t xml:space="preserve"> → menunjukkan model overfit ringan</t>
    </r>
  </si>
  <si>
    <r>
      <rPr>
        <rFont val="Calibri"/>
        <b/>
        <color theme="1"/>
        <sz val="11.0"/>
      </rPr>
      <t>Rata-rata kesalahan prediksi (residual)</t>
    </r>
    <r>
      <rPr>
        <rFont val="Calibri"/>
        <b val="0"/>
        <color theme="1"/>
        <sz val="11.0"/>
      </rPr>
      <t xml:space="preserve"> dalam satuan yang sama dengan Y</t>
    </r>
  </si>
  <si>
    <t>📌 a. R² (Koefisien Determinasi)</t>
  </si>
  <si>
    <t>R² = 0 → model tidak menjelaskan apa pun</t>
  </si>
  <si>
    <t>Jumlah sampel/data yang digunakan dalam analisis regresi</t>
  </si>
  <si>
    <r>
      <rPr>
        <rFont val="Calibri"/>
        <color theme="1"/>
        <sz val="11.0"/>
      </rPr>
      <t xml:space="preserve">Mengukur </t>
    </r>
    <r>
      <rPr>
        <rFont val="Calibri"/>
        <b/>
        <color theme="1"/>
        <sz val="11.0"/>
      </rPr>
      <t>seberapa besar variasi Y (misalnya: nilai SUS)</t>
    </r>
    <r>
      <rPr>
        <rFont val="Calibri"/>
        <color theme="1"/>
        <sz val="11.0"/>
      </rPr>
      <t xml:space="preserve"> yang bisa dijelaskan oleh kombinasi variabel X (dalam hal ini: dummy dari elemen desain).</t>
    </r>
  </si>
  <si>
    <t>R² = 1 → model menjelaskan 100% variasi Y</t>
  </si>
  <si>
    <t>B</t>
  </si>
  <si>
    <t>1. df (degrees of freedom / derajat kebebasan)</t>
  </si>
  <si>
    <t>R² ≥ 0.6 → model cukup kuat untuk pengambilan keputusan desain</t>
  </si>
  <si>
    <r>
      <rPr>
        <rFont val="Calibri"/>
        <b/>
        <color theme="1"/>
        <sz val="11.0"/>
      </rPr>
      <t>Regression (10)</t>
    </r>
    <r>
      <rPr>
        <rFont val="Calibri"/>
        <b val="0"/>
        <color theme="1"/>
        <sz val="11.0"/>
      </rPr>
      <t xml:space="preserve"> = jumlah prediktor (dummy variabel)</t>
    </r>
  </si>
  <si>
    <r>
      <rPr>
        <rFont val="Calibri"/>
        <b/>
        <color theme="1"/>
        <sz val="11.0"/>
      </rPr>
      <t>Residual (24)</t>
    </r>
    <r>
      <rPr>
        <rFont val="Calibri"/>
        <b val="0"/>
        <color theme="1"/>
        <sz val="11.0"/>
      </rPr>
      <t xml:space="preserve"> = n - k - 1 = 35 - 10 - 1</t>
    </r>
  </si>
  <si>
    <r>
      <rPr>
        <rFont val="Calibri"/>
        <b/>
        <color theme="1"/>
        <sz val="11.0"/>
      </rPr>
      <t>Total (34)</t>
    </r>
    <r>
      <rPr>
        <rFont val="Calibri"/>
        <b val="0"/>
        <color theme="1"/>
        <sz val="11.0"/>
      </rPr>
      <t xml:space="preserve"> = n - 1 = 35 sampel</t>
    </r>
  </si>
  <si>
    <t>Lower 95,0%</t>
  </si>
  <si>
    <t>Upper 95,0%</t>
  </si>
  <si>
    <t>📌 b. Adjusted R²</t>
  </si>
  <si>
    <t>2. SS (Sum of Squares)</t>
  </si>
  <si>
    <r>
      <rPr>
        <rFont val="Calibri"/>
        <color theme="1"/>
        <sz val="11.0"/>
      </rPr>
      <t xml:space="preserve">Karena kita pakai </t>
    </r>
    <r>
      <rPr>
        <rFont val="Calibri"/>
        <b/>
        <color theme="1"/>
        <sz val="11.0"/>
      </rPr>
      <t>banyak dummy variabel</t>
    </r>
    <r>
      <rPr>
        <rFont val="Calibri"/>
        <color theme="1"/>
        <sz val="11.0"/>
      </rPr>
      <t>, R² bisa “terlihat tinggi” secara artifisial. Maka, kita gunakan:</t>
    </r>
  </si>
  <si>
    <r>
      <rPr>
        <rFont val="Calibri"/>
        <b/>
        <color theme="1"/>
        <sz val="11.0"/>
      </rPr>
      <t>SS_Regression = 835.32</t>
    </r>
    <r>
      <rPr>
        <rFont val="Calibri"/>
        <b val="0"/>
        <color theme="1"/>
        <sz val="11.0"/>
      </rPr>
      <t xml:space="preserve"> → variasi dalam Y yang </t>
    </r>
    <r>
      <rPr>
        <rFont val="Calibri"/>
        <b/>
        <color theme="1"/>
        <sz val="11.0"/>
      </rPr>
      <t>dijelaskan oleh model</t>
    </r>
  </si>
  <si>
    <t>📌 Fungsi dalam QTT1:</t>
  </si>
  <si>
    <r>
      <rPr>
        <rFont val="Calibri"/>
        <b/>
        <color theme="1"/>
        <sz val="11.0"/>
      </rPr>
      <t>SS_Residual = 261.38</t>
    </r>
    <r>
      <rPr>
        <rFont val="Calibri"/>
        <b val="0"/>
        <color theme="1"/>
        <sz val="11.0"/>
      </rPr>
      <t xml:space="preserve"> → variasi yang </t>
    </r>
    <r>
      <rPr>
        <rFont val="Calibri"/>
        <b/>
        <color theme="1"/>
        <sz val="11.0"/>
      </rPr>
      <t>tidak bisa dijelaskan model (kesalahan)</t>
    </r>
  </si>
  <si>
    <r>
      <rPr>
        <rFont val="Calibri"/>
        <color theme="1"/>
        <sz val="11.0"/>
      </rPr>
      <t xml:space="preserve">Menilai apakah </t>
    </r>
    <r>
      <rPr>
        <rFont val="Calibri"/>
        <b/>
        <color theme="1"/>
        <sz val="11.0"/>
      </rPr>
      <t>penambahan dummy kategori benar-benar membantu</t>
    </r>
  </si>
  <si>
    <r>
      <rPr>
        <rFont val="Calibri"/>
        <b/>
        <color theme="1"/>
        <sz val="11.0"/>
      </rPr>
      <t>SS_Total = 1096.7</t>
    </r>
    <r>
      <rPr>
        <rFont val="Calibri"/>
        <b val="0"/>
        <color theme="1"/>
        <sz val="11.0"/>
      </rPr>
      <t xml:space="preserve"> → variasi total Y terhadap rata-ratanya</t>
    </r>
  </si>
  <si>
    <t>Menjadi dasar sahih bahwa hasil QTT1 layak dipercaya</t>
  </si>
  <si>
    <r>
      <rPr>
        <rFont val="Calibri"/>
        <color theme="1"/>
        <sz val="11.0"/>
      </rPr>
      <t xml:space="preserve">🔢 Terlihat bahwa model kamu </t>
    </r>
    <r>
      <rPr>
        <rFont val="Calibri"/>
        <b/>
        <color theme="1"/>
        <sz val="11.0"/>
      </rPr>
      <t>menjelaskan ~76% variasi Y</t>
    </r>
  </si>
  <si>
    <t>(R² = 835.32 / 1096.7 = 0.7619)</t>
  </si>
  <si>
    <t>1. Coefficients</t>
  </si>
  <si>
    <t>Kenapa Banyak #NUM! dan SE = 0?</t>
  </si>
  <si>
    <r>
      <rPr>
        <rFont val="Calibri"/>
        <color theme="1"/>
        <sz val="11.0"/>
      </rPr>
      <t xml:space="preserve">Ini adalah </t>
    </r>
    <r>
      <rPr>
        <rFont val="Calibri"/>
        <b/>
        <color theme="1"/>
        <sz val="11.0"/>
      </rPr>
      <t>nilai QTT1</t>
    </r>
    <r>
      <rPr>
        <rFont val="Calibri"/>
        <color theme="1"/>
        <sz val="11.0"/>
      </rPr>
      <t xml:space="preserve"> dari masing-masing kategori (kontribusi dummy terhadap Y)</t>
    </r>
  </si>
  <si>
    <t>📌 Kemungkinan besar:</t>
  </si>
  <si>
    <t>Contoh:</t>
  </si>
  <si>
    <r>
      <rPr>
        <rFont val="Calibri"/>
        <color theme="1"/>
        <sz val="11.0"/>
      </rPr>
      <t xml:space="preserve">Kamu </t>
    </r>
    <r>
      <rPr>
        <rFont val="Calibri"/>
        <b/>
        <color theme="1"/>
        <sz val="11.0"/>
      </rPr>
      <t>tidak membuang 1 dummy per elemen kategori</t>
    </r>
    <r>
      <rPr>
        <rFont val="Calibri"/>
        <color theme="1"/>
        <sz val="11.0"/>
      </rPr>
      <t xml:space="preserve"> (baseline)</t>
    </r>
  </si>
  <si>
    <r>
      <rPr>
        <rFont val="Arimo"/>
        <b/>
        <color theme="1"/>
        <sz val="10.0"/>
      </rPr>
      <t>Warna_Med = 11.34</t>
    </r>
    <r>
      <rPr>
        <rFont val="Calibri"/>
        <b/>
        <color theme="1"/>
        <sz val="11.0"/>
      </rPr>
      <t xml:space="preserve"> artinya jika desain menggunakan warna kategori medium, SUS score cenderung naik sebesar 11.34 poin</t>
    </r>
  </si>
  <si>
    <r>
      <rPr>
        <rFont val="Arimo"/>
        <b/>
        <color theme="1"/>
        <sz val="10.0"/>
      </rPr>
      <t>Ikon_Med = -0.93</t>
    </r>
    <r>
      <rPr>
        <rFont val="Calibri"/>
        <b/>
        <color theme="1"/>
        <sz val="11.0"/>
      </rPr>
      <t xml:space="preserve"> artinya sedikit menurunkan SUS score</t>
    </r>
  </si>
  <si>
    <r>
      <rPr>
        <rFont val="Calibri"/>
        <color theme="1"/>
        <sz val="11.0"/>
      </rPr>
      <t xml:space="preserve">Misalnya: </t>
    </r>
    <r>
      <rPr>
        <rFont val="Arial Unicode MS"/>
        <color theme="1"/>
        <sz val="10.0"/>
      </rPr>
      <t>Warna_Low</t>
    </r>
    <r>
      <rPr>
        <rFont val="Calibri"/>
        <color theme="1"/>
        <sz val="11.0"/>
      </rPr>
      <t xml:space="preserve">, </t>
    </r>
    <r>
      <rPr>
        <rFont val="Arial Unicode MS"/>
        <color theme="1"/>
        <sz val="10.0"/>
      </rPr>
      <t>Warna_Med</t>
    </r>
    <r>
      <rPr>
        <rFont val="Calibri"/>
        <color theme="1"/>
        <sz val="11.0"/>
      </rPr>
      <t xml:space="preserve">, dan </t>
    </r>
    <r>
      <rPr>
        <rFont val="Arial Unicode MS"/>
        <color theme="1"/>
        <sz val="10.0"/>
      </rPr>
      <t>Warna_High</t>
    </r>
    <r>
      <rPr>
        <rFont val="Calibri"/>
        <color theme="1"/>
        <sz val="11.0"/>
      </rPr>
      <t xml:space="preserve"> semuanya dimasukkan</t>
    </r>
  </si>
  <si>
    <t>note : tambah sample</t>
  </si>
  <si>
    <t>2. Standard Error (SE)</t>
  </si>
  <si>
    <r>
      <rPr>
        <rFont val="Calibri"/>
        <color theme="1"/>
        <sz val="11.0"/>
      </rPr>
      <t xml:space="preserve">Ini menyebabkan </t>
    </r>
    <r>
      <rPr>
        <rFont val="Calibri"/>
        <b/>
        <color theme="1"/>
        <sz val="11.0"/>
      </rPr>
      <t>multikolinearitas sempurna</t>
    </r>
    <r>
      <rPr>
        <rFont val="Calibri"/>
        <color theme="1"/>
        <sz val="11.0"/>
      </rPr>
      <t>, dan Excel tidak bisa menghitung SE, t, atau p-value</t>
    </r>
  </si>
  <si>
    <r>
      <rPr>
        <rFont val="Calibri"/>
        <color theme="1"/>
        <sz val="11.0"/>
      </rPr>
      <t xml:space="preserve">Mengukur </t>
    </r>
    <r>
      <rPr>
        <rFont val="Calibri"/>
        <b/>
        <color theme="1"/>
        <sz val="11.0"/>
      </rPr>
      <t>ketidakpastian</t>
    </r>
    <r>
      <rPr>
        <rFont val="Calibri"/>
        <color theme="1"/>
        <sz val="11.0"/>
      </rPr>
      <t xml:space="preserve"> estimasi koefisien.</t>
    </r>
  </si>
  <si>
    <r>
      <rPr>
        <rFont val="Calibri"/>
        <color theme="1"/>
        <sz val="11.0"/>
      </rPr>
      <t xml:space="preserve">Dalam QTT1 dan regresi: </t>
    </r>
    <r>
      <rPr>
        <rFont val="Calibri"/>
        <b/>
        <color theme="1"/>
        <sz val="11.0"/>
      </rPr>
      <t>wajib membuang 1 dummy per elemen</t>
    </r>
    <r>
      <rPr>
        <rFont val="Calibri"/>
        <color theme="1"/>
        <sz val="11.0"/>
      </rPr>
      <t xml:space="preserve"> agar model bisa dihitung</t>
    </r>
  </si>
  <si>
    <r>
      <rPr>
        <rFont val="Calibri"/>
        <color theme="1"/>
        <sz val="11.0"/>
      </rPr>
      <t xml:space="preserve">Jika SE = 0 → </t>
    </r>
    <r>
      <rPr>
        <rFont val="Calibri"/>
        <b/>
        <color theme="1"/>
        <sz val="11.0"/>
      </rPr>
      <t>gagal dihitung</t>
    </r>
    <r>
      <rPr>
        <rFont val="Calibri"/>
        <color theme="1"/>
        <sz val="11.0"/>
      </rPr>
      <t>, biasanya karena:</t>
    </r>
  </si>
  <si>
    <t>Kesimpulan:</t>
  </si>
  <si>
    <r>
      <rPr>
        <rFont val="Calibri"/>
        <color theme="1"/>
        <sz val="11.0"/>
      </rPr>
      <t xml:space="preserve">Satu-satunya koefisien yang valid di sini adalah </t>
    </r>
    <r>
      <rPr>
        <rFont val="Calibri"/>
        <b/>
        <color theme="1"/>
        <sz val="11.0"/>
      </rPr>
      <t>Intercept dan Warna_Med</t>
    </r>
  </si>
  <si>
    <t>Dummy tidak aktif dalam data</t>
  </si>
  <si>
    <r>
      <rPr>
        <rFont val="Calibri"/>
        <color theme="1"/>
        <sz val="11.0"/>
      </rPr>
      <t xml:space="preserve">Sisanya mengalami error karena struktur dummy masih </t>
    </r>
    <r>
      <rPr>
        <rFont val="Calibri"/>
        <b/>
        <color theme="1"/>
        <sz val="11.0"/>
      </rPr>
      <t>terlalu penuh</t>
    </r>
  </si>
  <si>
    <t>Multikolinearitas (misalnya semua kategori digunakan tanpa membuang 1)</t>
  </si>
  <si>
    <r>
      <rPr>
        <rFont val="Calibri"/>
        <b/>
        <color theme="1"/>
        <sz val="11.0"/>
      </rPr>
      <t>Perbaiki dummy dulu</t>
    </r>
    <r>
      <rPr>
        <rFont val="Calibri"/>
        <b val="0"/>
        <color theme="1"/>
        <sz val="11.0"/>
      </rPr>
      <t>, lalu analisis bisa dilanjutkan</t>
    </r>
  </si>
  <si>
    <r>
      <rPr>
        <rFont val="Calibri"/>
        <color theme="1"/>
        <sz val="11.0"/>
      </rPr>
      <t xml:space="preserve">👉 SE = 0 menyebabkan </t>
    </r>
    <r>
      <rPr>
        <rFont val="Arial Unicode MS"/>
        <color theme="1"/>
        <sz val="10.0"/>
      </rPr>
      <t>t = koef / 0 → 65535</t>
    </r>
    <r>
      <rPr>
        <rFont val="Calibri"/>
        <color theme="1"/>
        <sz val="11.0"/>
      </rPr>
      <t xml:space="preserve"> → error </t>
    </r>
    <r>
      <rPr>
        <rFont val="Arial Unicode MS"/>
        <color theme="1"/>
        <sz val="10.0"/>
      </rPr>
      <t>#NUM!</t>
    </r>
  </si>
  <si>
    <t>C</t>
  </si>
  <si>
    <t>3. t Stat</t>
  </si>
  <si>
    <t xml:space="preserve">PENGAMBILAN KEPUTUSAN </t>
  </si>
  <si>
    <t>Mengukur apakah koefisien berbeda signifikan dari nol.</t>
  </si>
  <si>
    <r>
      <rPr>
        <rFont val="Calibri"/>
        <color theme="1"/>
        <sz val="11.0"/>
      </rPr>
      <t xml:space="preserve">Dalam QTT1, setiap </t>
    </r>
    <r>
      <rPr>
        <rFont val="Calibri"/>
        <b/>
        <color theme="1"/>
        <sz val="11.0"/>
      </rPr>
      <t>kategori</t>
    </r>
    <r>
      <rPr>
        <rFont val="Calibri"/>
        <color theme="1"/>
        <sz val="11.0"/>
      </rPr>
      <t xml:space="preserve"> dari elemen desain (yang sudah dikodekan sebagai dummy) akan mendapatkan </t>
    </r>
    <r>
      <rPr>
        <rFont val="Calibri"/>
        <b/>
        <color theme="1"/>
        <sz val="11.0"/>
      </rPr>
      <t>nilai koefisien hasil regresi</t>
    </r>
    <r>
      <rPr>
        <rFont val="Calibri"/>
        <color theme="1"/>
        <sz val="11.0"/>
      </rPr>
      <t>.</t>
    </r>
  </si>
  <si>
    <t>t = Coefficient ÷ Standard Error</t>
  </si>
  <si>
    <r>
      <rPr>
        <rFont val="Calibri"/>
        <color theme="1"/>
        <sz val="11.0"/>
      </rPr>
      <t xml:space="preserve">📌 </t>
    </r>
    <r>
      <rPr>
        <rFont val="Calibri"/>
        <b/>
        <color theme="1"/>
        <sz val="11.0"/>
      </rPr>
      <t>Koefisien dummy ini = nilai QTT1 untuk kategori tersebut.</t>
    </r>
  </si>
  <si>
    <t>Nilai |t| &gt; 2 → biasanya signifikan (p &lt; 0.05)</t>
  </si>
  <si>
    <t>💡 Maknanya:</t>
  </si>
  <si>
    <r>
      <rPr>
        <rFont val="Calibri"/>
        <b/>
        <color theme="1"/>
        <sz val="11.0"/>
      </rPr>
      <t>Semakin besar (positif) nilai QTT1</t>
    </r>
    <r>
      <rPr>
        <rFont val="Calibri"/>
        <b val="0"/>
        <color theme="1"/>
        <sz val="11.0"/>
      </rPr>
      <t xml:space="preserve"> → kategori tersebut </t>
    </r>
    <r>
      <rPr>
        <rFont val="Calibri"/>
        <b/>
        <color theme="1"/>
        <sz val="11.0"/>
      </rPr>
      <t>memberi kontribusi tinggi terhadap peningkatan Y (misalnya usability/SUS)</t>
    </r>
  </si>
  <si>
    <t>4. P-value</t>
  </si>
  <si>
    <r>
      <rPr>
        <rFont val="Calibri"/>
        <b/>
        <color theme="1"/>
        <sz val="11.0"/>
      </rPr>
      <t>Semakin negatif nilai QTT1</t>
    </r>
    <r>
      <rPr>
        <rFont val="Calibri"/>
        <b val="0"/>
        <color theme="1"/>
        <sz val="11.0"/>
      </rPr>
      <t xml:space="preserve"> → kategori tersebut </t>
    </r>
    <r>
      <rPr>
        <rFont val="Calibri"/>
        <b/>
        <color theme="1"/>
        <sz val="11.0"/>
      </rPr>
      <t>justru menurunkan persepsi usability</t>
    </r>
  </si>
  <si>
    <t>Probabilitas bahwa hasil ini muncul secara kebetulan.</t>
  </si>
  <si>
    <t>Semakin kecil, semakin signifikan.</t>
  </si>
  <si>
    <r>
      <rPr>
        <rFont val="Arimo"/>
        <color theme="1"/>
        <sz val="10.0"/>
      </rPr>
      <t>p &lt; 0.05</t>
    </r>
    <r>
      <rPr>
        <rFont val="Calibri"/>
        <color theme="1"/>
        <sz val="11.0"/>
      </rPr>
      <t xml:space="preserve"> = signifikan → kategori tersebut </t>
    </r>
    <r>
      <rPr>
        <rFont val="Calibri"/>
        <b/>
        <color theme="1"/>
        <sz val="11.0"/>
      </rPr>
      <t>secara statistik berpengaruh</t>
    </r>
  </si>
  <si>
    <t>🟡 LANGKAH 6.  BUAT GRAFIK BATANG R SEBAGAI BAHAN ANALISIS FEATURE ENGINEERING</t>
  </si>
  <si>
    <t>LITERATUR</t>
  </si>
  <si>
    <t>Interpretasi</t>
  </si>
  <si>
    <t>https://stats.oarc.ucla.edu/other/mult-pkg/faq/general/faq-how-do-i-interpret-the-coefficients-of-an-effect-coded-variable-involved-in-an-interaction-in-a-regression-model/</t>
  </si>
  <si>
    <r>
      <rPr>
        <rFont val="Calibri"/>
        <b/>
        <color theme="1"/>
        <sz val="11.0"/>
      </rPr>
      <t>Koefisien positif besar</t>
    </r>
    <r>
      <rPr>
        <rFont val="Calibri"/>
        <b val="0"/>
        <color theme="1"/>
        <sz val="11.0"/>
      </rPr>
      <t xml:space="preserve">: kategori itu </t>
    </r>
    <r>
      <rPr>
        <rFont val="Calibri"/>
        <b/>
        <color theme="1"/>
        <sz val="11.0"/>
      </rPr>
      <t>meningkatkan usability</t>
    </r>
    <r>
      <rPr>
        <rFont val="Calibri"/>
        <b val="0"/>
        <color theme="1"/>
        <sz val="11.0"/>
      </rPr>
      <t xml:space="preserve"> → rekomendasikan dalam desain</t>
    </r>
  </si>
  <si>
    <t>https://stattrek.com/multiple-regression/dummy-variables</t>
  </si>
  <si>
    <t>https://gargicollege.in/wp-content/uploads/2020/03/Dummy-Variables-Econometrics.pdf</t>
  </si>
  <si>
    <r>
      <rPr>
        <rFont val="Calibri"/>
        <b/>
        <color theme="1"/>
        <sz val="11.0"/>
      </rPr>
      <t>Koefisien negatif besar</t>
    </r>
    <r>
      <rPr>
        <rFont val="Calibri"/>
        <b val="0"/>
        <color theme="1"/>
        <sz val="11.0"/>
      </rPr>
      <t xml:space="preserve">: kategori itu </t>
    </r>
    <r>
      <rPr>
        <rFont val="Calibri"/>
        <b/>
        <color theme="1"/>
        <sz val="11.0"/>
      </rPr>
      <t>mengurangi usability</t>
    </r>
    <r>
      <rPr>
        <rFont val="Calibri"/>
        <b val="0"/>
        <color theme="1"/>
        <sz val="11.0"/>
      </rPr>
      <t xml:space="preserve"> → hindari</t>
    </r>
  </si>
  <si>
    <t>https://www.w3.org/TR/WCAG20/</t>
  </si>
  <si>
    <t>https://www.drnishikantjha.com/papersCollection/Multivariate%20Data%20Analysis.pdf</t>
  </si>
  <si>
    <t>https://data-science.tokyo/ed-e/ede1-3-6.html</t>
  </si>
  <si>
    <t>Kesimpulan dari analisis regresi ini adalah elemen yang memiliki koefisien tinggi atau yang mempengaruhi usability adalah elemen Card_Low, Level Bar_Med dan juga Text_Med</t>
  </si>
  <si>
    <t>Langkah Buat Grafik Batang Horizontal</t>
  </si>
  <si>
    <r>
      <rPr>
        <rFont val="Calibri"/>
        <color theme="1"/>
        <sz val="11.0"/>
      </rPr>
      <t xml:space="preserve">1. Blok tabel </t>
    </r>
    <r>
      <rPr>
        <rFont val="Arial Unicode MS"/>
        <color theme="1"/>
        <sz val="10.0"/>
      </rPr>
      <t>Kategori Dummy</t>
    </r>
    <r>
      <rPr>
        <rFont val="Calibri"/>
        <color theme="1"/>
        <sz val="11.0"/>
      </rPr>
      <t xml:space="preserve"> dan </t>
    </r>
    <r>
      <rPr>
        <rFont val="Arial Unicode MS"/>
        <color theme="1"/>
        <sz val="10.0"/>
      </rPr>
      <t>Skor QTT1</t>
    </r>
  </si>
  <si>
    <r>
      <rPr>
        <rFont val="Calibri"/>
        <color theme="1"/>
        <sz val="11.0"/>
      </rPr>
      <t xml:space="preserve">2. Klik menu </t>
    </r>
    <r>
      <rPr>
        <rFont val="Arial Unicode MS"/>
        <color theme="1"/>
        <sz val="10.0"/>
      </rPr>
      <t>Insert → Bar Chart → 2D Bar → Clustered Bar</t>
    </r>
  </si>
  <si>
    <t>3. Tambahkan:</t>
  </si>
  <si>
    <r>
      <rPr>
        <rFont val="Calibri"/>
        <color theme="1"/>
        <sz val="11.0"/>
      </rPr>
      <t xml:space="preserve">Judul grafik: </t>
    </r>
    <r>
      <rPr>
        <rFont val="Calibri"/>
        <i/>
        <color theme="1"/>
        <sz val="11.0"/>
      </rPr>
      <t>"Kontribusi Elemen Desain terhadap Skor SUS"</t>
    </r>
  </si>
  <si>
    <t>Data label jika perlu</t>
  </si>
  <si>
    <t>Format warna: hijau untuk positif, merah untuk negatif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</si>
</sst>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rgb="FF000000"/>
      <name val="Arial"/>
      <scheme val="minor"/>
    </font>
    <font>
      <b/>
      <sz val="13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26.0"/>
      <color theme="1"/>
      <name val="Calibri"/>
    </font>
    <font>
      <sz val="12.0"/>
      <color theme="1"/>
      <name val="Calibri"/>
    </font>
    <font>
      <b/>
      <sz val="20.0"/>
      <color theme="1"/>
      <name val="Calibri"/>
    </font>
    <font/>
    <font>
      <i/>
      <sz val="11.0"/>
      <color theme="1"/>
      <name val="Calibri"/>
    </font>
    <font>
      <b/>
      <sz val="11.0"/>
      <color rgb="FFFF0000"/>
      <name val="Calibri"/>
    </font>
    <font>
      <sz val="24.0"/>
      <color theme="1"/>
      <name val="Calibri"/>
    </font>
    <font>
      <b/>
      <sz val="12.0"/>
      <color theme="1"/>
      <name val="Calibri"/>
    </font>
    <font>
      <sz val="11.0"/>
      <color theme="1"/>
      <name val="Arial"/>
    </font>
    <font>
      <b/>
      <sz val="36.0"/>
      <color theme="1"/>
      <name val="Arial Black"/>
    </font>
    <font>
      <i/>
      <sz val="11.0"/>
      <color theme="1"/>
      <name val="Arial"/>
    </font>
    <font>
      <b/>
      <sz val="18.0"/>
      <color theme="1"/>
      <name val="Calibri"/>
    </font>
    <font>
      <b/>
      <sz val="10.0"/>
      <color theme="1"/>
      <name val="Arimo"/>
    </font>
    <font>
      <sz val="10.0"/>
      <color theme="1"/>
      <name val="Arimo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6D9F0"/>
        <bgColor rgb="FFC6D9F0"/>
      </patternFill>
    </fill>
    <fill>
      <patternFill patternType="solid">
        <fgColor rgb="FFEAF1DD"/>
        <bgColor rgb="FFEAF1DD"/>
      </patternFill>
    </fill>
    <fill>
      <patternFill patternType="solid">
        <fgColor rgb="FFEEECE1"/>
        <bgColor rgb="FFEEECE1"/>
      </patternFill>
    </fill>
    <fill>
      <patternFill patternType="solid">
        <fgColor rgb="FFDBE5F1"/>
        <bgColor rgb="FFDBE5F1"/>
      </patternFill>
    </fill>
    <fill>
      <patternFill patternType="solid">
        <fgColor rgb="FFDDD9C3"/>
        <bgColor rgb="FFDDD9C3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E5DFEC"/>
        <bgColor rgb="FFE5DFEC"/>
      </patternFill>
    </fill>
    <fill>
      <patternFill patternType="solid">
        <fgColor rgb="FFF2DBDB"/>
        <bgColor rgb="FFF2DBDB"/>
      </patternFill>
    </fill>
  </fills>
  <borders count="4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/>
    </border>
    <border>
      <top/>
    </border>
    <border>
      <left/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0" fontId="2" numFmtId="0" xfId="0" applyAlignment="1" applyBorder="1" applyFont="1">
      <alignment horizontal="center" vertical="top"/>
    </xf>
    <xf borderId="0" fillId="0" fontId="3" numFmtId="0" xfId="0" applyFont="1"/>
    <xf borderId="0" fillId="0" fontId="3" numFmtId="0" xfId="0" applyAlignment="1" applyFont="1">
      <alignment readingOrder="0"/>
    </xf>
    <xf borderId="2" fillId="2" fontId="4" numFmtId="0" xfId="0" applyBorder="1" applyFill="1" applyFont="1"/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/>
    </xf>
    <xf borderId="0" fillId="0" fontId="5" numFmtId="0" xfId="0" applyFont="1"/>
    <xf borderId="3" fillId="0" fontId="2" numFmtId="0" xfId="0" applyAlignment="1" applyBorder="1" applyFont="1">
      <alignment horizontal="center" vertical="top"/>
    </xf>
    <xf borderId="4" fillId="3" fontId="2" numFmtId="0" xfId="0" applyAlignment="1" applyBorder="1" applyFill="1" applyFont="1">
      <alignment horizontal="center" vertical="top"/>
    </xf>
    <xf borderId="5" fillId="0" fontId="2" numFmtId="0" xfId="0" applyAlignment="1" applyBorder="1" applyFont="1">
      <alignment horizontal="center" vertical="top"/>
    </xf>
    <xf borderId="1" fillId="4" fontId="2" numFmtId="0" xfId="0" applyAlignment="1" applyBorder="1" applyFill="1" applyFont="1">
      <alignment horizontal="center" vertical="top"/>
    </xf>
    <xf borderId="1" fillId="4" fontId="2" numFmtId="0" xfId="0" applyAlignment="1" applyBorder="1" applyFont="1">
      <alignment horizontal="center" readingOrder="0" vertical="top"/>
    </xf>
    <xf borderId="1" fillId="0" fontId="6" numFmtId="0" xfId="0" applyAlignment="1" applyBorder="1" applyFont="1">
      <alignment readingOrder="0"/>
    </xf>
    <xf borderId="6" fillId="0" fontId="4" numFmtId="0" xfId="0" applyAlignment="1" applyBorder="1" applyFont="1">
      <alignment readingOrder="0" shrinkToFit="0" wrapText="1"/>
    </xf>
    <xf borderId="7" fillId="0" fontId="4" numFmtId="0" xfId="0" applyAlignment="1" applyBorder="1" applyFont="1">
      <alignment shrinkToFit="0" wrapText="1"/>
    </xf>
    <xf borderId="1" fillId="3" fontId="4" numFmtId="0" xfId="0" applyAlignment="1" applyBorder="1" applyFont="1">
      <alignment horizontal="right" readingOrder="0" shrinkToFit="0" wrapText="1"/>
    </xf>
    <xf borderId="1" fillId="3" fontId="4" numFmtId="0" xfId="0" applyAlignment="1" applyBorder="1" applyFont="1">
      <alignment horizontal="right" shrinkToFit="0" wrapText="1"/>
    </xf>
    <xf borderId="1" fillId="0" fontId="4" numFmtId="0" xfId="0" applyBorder="1" applyFont="1"/>
    <xf quotePrefix="1" borderId="1" fillId="3" fontId="4" numFmtId="20" xfId="0" applyBorder="1" applyFont="1" applyNumberFormat="1"/>
    <xf borderId="1" fillId="2" fontId="4" numFmtId="0" xfId="0" applyAlignment="1" applyBorder="1" applyFont="1">
      <alignment horizontal="center"/>
    </xf>
    <xf borderId="1" fillId="5" fontId="4" numFmtId="0" xfId="0" applyAlignment="1" applyBorder="1" applyFill="1" applyFont="1">
      <alignment horizontal="center"/>
    </xf>
    <xf quotePrefix="1" borderId="1" fillId="3" fontId="4" numFmtId="0" xfId="0" applyBorder="1" applyFont="1"/>
    <xf borderId="0" fillId="0" fontId="4" numFmtId="20" xfId="0" applyFont="1" applyNumberFormat="1"/>
    <xf borderId="0" fillId="0" fontId="5" numFmtId="0" xfId="0" applyAlignment="1" applyFont="1">
      <alignment readingOrder="0"/>
    </xf>
    <xf borderId="8" fillId="0" fontId="4" numFmtId="0" xfId="0" applyBorder="1" applyFont="1"/>
    <xf borderId="1" fillId="0" fontId="4" numFmtId="0" xfId="0" applyAlignment="1" applyBorder="1" applyFont="1">
      <alignment readingOrder="0" shrinkToFit="0" wrapText="1"/>
    </xf>
    <xf borderId="9" fillId="0" fontId="4" numFmtId="0" xfId="0" applyBorder="1" applyFont="1"/>
    <xf borderId="7" fillId="0" fontId="4" numFmtId="0" xfId="0" applyAlignment="1" applyBorder="1" applyFont="1">
      <alignment readingOrder="0" shrinkToFit="0" wrapText="1"/>
    </xf>
    <xf borderId="1" fillId="4" fontId="4" numFmtId="0" xfId="0" applyAlignment="1" applyBorder="1" applyFont="1">
      <alignment horizontal="center"/>
    </xf>
    <xf borderId="7" fillId="0" fontId="4" numFmtId="0" xfId="0" applyAlignment="1" applyBorder="1" applyFont="1">
      <alignment shrinkToFit="0" vertical="bottom" wrapText="1"/>
    </xf>
    <xf borderId="0" fillId="0" fontId="7" numFmtId="0" xfId="0" applyAlignment="1" applyFont="1">
      <alignment readingOrder="0"/>
    </xf>
    <xf borderId="3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6" fillId="0" fontId="8" numFmtId="0" xfId="0" applyBorder="1" applyFont="1"/>
    <xf borderId="9" fillId="0" fontId="8" numFmtId="0" xfId="0" applyBorder="1" applyFont="1"/>
    <xf borderId="0" fillId="0" fontId="4" numFmtId="0" xfId="0" applyFont="1"/>
    <xf borderId="7" fillId="0" fontId="2" numFmtId="0" xfId="0" applyAlignment="1" applyBorder="1" applyFont="1">
      <alignment horizontal="center"/>
    </xf>
    <xf borderId="3" fillId="0" fontId="2" numFmtId="1" xfId="0" applyAlignment="1" applyBorder="1" applyFont="1" applyNumberFormat="1">
      <alignment horizontal="center" vertical="center"/>
    </xf>
    <xf borderId="10" fillId="0" fontId="8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1" fillId="6" fontId="2" numFmtId="1" xfId="0" applyAlignment="1" applyBorder="1" applyFill="1" applyFont="1" applyNumberFormat="1">
      <alignment horizontal="center"/>
    </xf>
    <xf borderId="0" fillId="0" fontId="4" numFmtId="0" xfId="0" applyAlignment="1" applyFont="1">
      <alignment horizontal="center" vertical="center"/>
    </xf>
    <xf borderId="10" fillId="0" fontId="2" numFmtId="1" xfId="0" applyAlignment="1" applyBorder="1" applyFont="1" applyNumberFormat="1">
      <alignment horizontal="center" vertical="center"/>
    </xf>
    <xf borderId="1" fillId="2" fontId="2" numFmtId="1" xfId="0" applyAlignment="1" applyBorder="1" applyFont="1" applyNumberFormat="1">
      <alignment horizontal="center"/>
    </xf>
    <xf borderId="1" fillId="0" fontId="9" numFmtId="0" xfId="0" applyAlignment="1" applyBorder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shrinkToFit="0" wrapText="1"/>
    </xf>
    <xf borderId="11" fillId="6" fontId="2" numFmtId="0" xfId="0" applyAlignment="1" applyBorder="1" applyFont="1">
      <alignment shrinkToFit="0" wrapText="1"/>
    </xf>
    <xf borderId="12" fillId="6" fontId="2" numFmtId="0" xfId="0" applyAlignment="1" applyBorder="1" applyFont="1">
      <alignment horizontal="center" shrinkToFit="0" vertical="top" wrapText="1"/>
    </xf>
    <xf borderId="13" fillId="6" fontId="2" numFmtId="0" xfId="0" applyAlignment="1" applyBorder="1" applyFont="1">
      <alignment horizontal="center" readingOrder="0" shrinkToFit="0" vertical="top" wrapText="1"/>
    </xf>
    <xf borderId="13" fillId="6" fontId="2" numFmtId="0" xfId="0" applyAlignment="1" applyBorder="1" applyFont="1">
      <alignment horizontal="center" shrinkToFit="0" vertical="top" wrapText="1"/>
    </xf>
    <xf borderId="14" fillId="6" fontId="2" numFmtId="0" xfId="0" applyAlignment="1" applyBorder="1" applyFont="1">
      <alignment horizontal="center" vertical="top"/>
    </xf>
    <xf borderId="1" fillId="0" fontId="4" numFmtId="0" xfId="0" applyAlignment="1" applyBorder="1" applyFont="1">
      <alignment readingOrder="0" shrinkToFit="0" vertical="center" wrapText="1"/>
    </xf>
    <xf borderId="15" fillId="0" fontId="4" numFmtId="0" xfId="0" applyAlignment="1" applyBorder="1" applyFont="1">
      <alignment readingOrder="0" shrinkToFit="0" vertical="center" wrapText="1"/>
    </xf>
    <xf borderId="15" fillId="0" fontId="4" numFmtId="0" xfId="0" applyAlignment="1" applyBorder="1" applyFont="1">
      <alignment shrinkToFit="0" vertical="center" wrapText="1"/>
    </xf>
    <xf borderId="16" fillId="0" fontId="4" numFmtId="0" xfId="0" applyAlignment="1" applyBorder="1" applyFont="1">
      <alignment shrinkToFit="0" vertical="center" wrapText="1"/>
    </xf>
    <xf borderId="17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7" fillId="0" fontId="4" numFmtId="0" xfId="0" applyAlignment="1" applyBorder="1" applyFont="1">
      <alignment shrinkToFit="0" vertical="center" wrapText="1"/>
    </xf>
    <xf borderId="18" fillId="0" fontId="4" numFmtId="0" xfId="0" applyAlignment="1" applyBorder="1" applyFont="1">
      <alignment readingOrder="0" shrinkToFit="0" vertical="center" wrapText="1"/>
    </xf>
    <xf borderId="19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vertical="top"/>
    </xf>
    <xf borderId="20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vertical="center" wrapText="1"/>
    </xf>
    <xf borderId="21" fillId="0" fontId="4" numFmtId="0" xfId="0" applyAlignment="1" applyBorder="1" applyFont="1">
      <alignment shrinkToFit="0" wrapText="1"/>
    </xf>
    <xf borderId="0" fillId="0" fontId="12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22" fillId="0" fontId="4" numFmtId="0" xfId="0" applyAlignment="1" applyBorder="1" applyFont="1">
      <alignment shrinkToFit="0" wrapText="1"/>
    </xf>
    <xf borderId="18" fillId="0" fontId="4" numFmtId="0" xfId="0" applyAlignment="1" applyBorder="1" applyFont="1">
      <alignment shrinkToFit="0" vertical="center" wrapText="1"/>
    </xf>
    <xf borderId="19" fillId="0" fontId="4" numFmtId="0" xfId="0" applyAlignment="1" applyBorder="1" applyFont="1">
      <alignment shrinkToFit="0" vertical="center" wrapText="1"/>
    </xf>
    <xf borderId="0" fillId="0" fontId="2" numFmtId="0" xfId="0" applyAlignment="1" applyFont="1">
      <alignment horizontal="left" vertical="center"/>
    </xf>
    <xf borderId="11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3" fillId="0" fontId="4" numFmtId="0" xfId="0" applyAlignment="1" applyBorder="1" applyFont="1">
      <alignment shrinkToFit="0" vertical="center" wrapText="1"/>
    </xf>
    <xf borderId="24" fillId="0" fontId="4" numFmtId="0" xfId="0" applyAlignment="1" applyBorder="1" applyFont="1">
      <alignment shrinkToFit="0" vertical="center" wrapText="1"/>
    </xf>
    <xf borderId="21" fillId="0" fontId="4" numFmtId="0" xfId="0" applyAlignment="1" applyBorder="1" applyFont="1">
      <alignment shrinkToFit="0" vertical="center" wrapText="1"/>
    </xf>
    <xf borderId="22" fillId="0" fontId="4" numFmtId="0" xfId="0" applyAlignment="1" applyBorder="1" applyFont="1">
      <alignment shrinkToFit="0" vertical="center" wrapText="1"/>
    </xf>
    <xf borderId="0" fillId="0" fontId="2" numFmtId="0" xfId="0" applyFont="1"/>
    <xf borderId="0" fillId="0" fontId="9" numFmtId="0" xfId="0" applyAlignment="1" applyFont="1">
      <alignment horizontal="center"/>
    </xf>
    <xf borderId="25" fillId="0" fontId="9" numFmtId="0" xfId="0" applyAlignment="1" applyBorder="1" applyFont="1">
      <alignment horizontal="center"/>
    </xf>
    <xf borderId="25" fillId="0" fontId="8" numFmtId="0" xfId="0" applyBorder="1" applyFont="1"/>
    <xf borderId="26" fillId="0" fontId="4" numFmtId="0" xfId="0" applyBorder="1" applyFont="1"/>
    <xf borderId="11" fillId="0" fontId="2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borderId="27" fillId="0" fontId="2" numFmtId="0" xfId="0" applyAlignment="1" applyBorder="1" applyFont="1">
      <alignment horizontal="center" shrinkToFit="0" wrapText="1"/>
    </xf>
    <xf borderId="14" fillId="0" fontId="2" numFmtId="0" xfId="0" applyAlignment="1" applyBorder="1" applyFont="1">
      <alignment horizontal="center" shrinkToFit="0" wrapText="1"/>
    </xf>
    <xf borderId="20" fillId="0" fontId="4" numFmtId="0" xfId="0" applyAlignment="1" applyBorder="1" applyFont="1">
      <alignment horizontal="right" shrinkToFit="0" wrapText="1"/>
    </xf>
    <xf borderId="15" fillId="0" fontId="4" numFmtId="0" xfId="0" applyAlignment="1" applyBorder="1" applyFont="1">
      <alignment horizontal="right" shrinkToFit="0" wrapText="1"/>
    </xf>
    <xf borderId="15" fillId="0" fontId="4" numFmtId="0" xfId="0" applyAlignment="1" applyBorder="1" applyFont="1">
      <alignment horizontal="right" shrinkToFit="0" wrapText="1"/>
    </xf>
    <xf borderId="16" fillId="0" fontId="4" numFmtId="0" xfId="0" applyAlignment="1" applyBorder="1" applyFont="1">
      <alignment horizontal="right" shrinkToFit="0" wrapText="1"/>
    </xf>
    <xf borderId="21" fillId="0" fontId="4" numFmtId="0" xfId="0" applyAlignment="1" applyBorder="1" applyFont="1">
      <alignment horizontal="right" shrinkToFit="0" wrapText="1"/>
    </xf>
    <xf borderId="1" fillId="0" fontId="4" numFmtId="0" xfId="0" applyAlignment="1" applyBorder="1" applyFont="1">
      <alignment horizontal="right" shrinkToFit="0" wrapText="1"/>
    </xf>
    <xf borderId="1" fillId="0" fontId="4" numFmtId="0" xfId="0" applyAlignment="1" applyBorder="1" applyFont="1">
      <alignment horizontal="right" shrinkToFit="0" wrapText="1"/>
    </xf>
    <xf borderId="17" fillId="0" fontId="4" numFmtId="0" xfId="0" applyAlignment="1" applyBorder="1" applyFont="1">
      <alignment horizontal="right" shrinkToFit="0" wrapText="1"/>
    </xf>
    <xf borderId="28" fillId="0" fontId="4" numFmtId="0" xfId="0" applyBorder="1" applyFont="1"/>
    <xf borderId="22" fillId="0" fontId="4" numFmtId="0" xfId="0" applyAlignment="1" applyBorder="1" applyFont="1">
      <alignment horizontal="right" shrinkToFit="0" wrapText="1"/>
    </xf>
    <xf borderId="18" fillId="0" fontId="4" numFmtId="0" xfId="0" applyAlignment="1" applyBorder="1" applyFont="1">
      <alignment horizontal="right" shrinkToFit="0" wrapText="1"/>
    </xf>
    <xf borderId="18" fillId="0" fontId="4" numFmtId="0" xfId="0" applyAlignment="1" applyBorder="1" applyFont="1">
      <alignment horizontal="right" shrinkToFit="0" wrapText="1"/>
    </xf>
    <xf borderId="19" fillId="0" fontId="4" numFmtId="0" xfId="0" applyAlignment="1" applyBorder="1" applyFont="1">
      <alignment horizontal="right" shrinkToFit="0" wrapText="1"/>
    </xf>
    <xf borderId="0" fillId="0" fontId="13" numFmtId="0" xfId="0" applyAlignment="1" applyFont="1">
      <alignment vertical="bottom"/>
    </xf>
    <xf borderId="1" fillId="7" fontId="2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vertical="bottom"/>
    </xf>
    <xf borderId="1" fillId="8" fontId="2" numFmtId="0" xfId="0" applyAlignment="1" applyBorder="1" applyFill="1" applyFont="1">
      <alignment shrinkToFit="0" vertical="center" wrapText="1"/>
    </xf>
    <xf borderId="1" fillId="8" fontId="4" numFmtId="0" xfId="0" applyAlignment="1" applyBorder="1" applyFont="1">
      <alignment shrinkToFit="0" vertical="center" wrapText="1"/>
    </xf>
    <xf borderId="0" fillId="0" fontId="14" numFmtId="0" xfId="0" applyFont="1"/>
    <xf borderId="25" fillId="0" fontId="15" numFmtId="0" xfId="0" applyAlignment="1" applyBorder="1" applyFont="1">
      <alignment horizontal="center" vertical="bottom"/>
    </xf>
    <xf borderId="29" fillId="9" fontId="16" numFmtId="0" xfId="0" applyAlignment="1" applyBorder="1" applyFill="1" applyFont="1">
      <alignment vertical="center"/>
    </xf>
    <xf borderId="30" fillId="9" fontId="4" numFmtId="0" xfId="0" applyBorder="1" applyFont="1"/>
    <xf borderId="30" fillId="9" fontId="1" numFmtId="0" xfId="0" applyAlignment="1" applyBorder="1" applyFont="1">
      <alignment vertical="center"/>
    </xf>
    <xf borderId="31" fillId="9" fontId="4" numFmtId="0" xfId="0" applyBorder="1" applyFont="1"/>
    <xf borderId="0" fillId="0" fontId="13" numFmtId="0" xfId="0" applyAlignment="1" applyFont="1">
      <alignment horizontal="right" vertical="bottom"/>
    </xf>
    <xf borderId="32" fillId="9" fontId="4" numFmtId="0" xfId="0" applyBorder="1" applyFont="1"/>
    <xf borderId="2" fillId="9" fontId="4" numFmtId="0" xfId="0" applyBorder="1" applyFont="1"/>
    <xf borderId="2" fillId="9" fontId="4" numFmtId="0" xfId="0" applyAlignment="1" applyBorder="1" applyFont="1">
      <alignment horizontal="left" vertical="center"/>
    </xf>
    <xf borderId="33" fillId="9" fontId="4" numFmtId="0" xfId="0" applyBorder="1" applyFont="1"/>
    <xf borderId="32" fillId="9" fontId="1" numFmtId="0" xfId="0" applyAlignment="1" applyBorder="1" applyFont="1">
      <alignment vertical="center"/>
    </xf>
    <xf borderId="29" fillId="2" fontId="2" numFmtId="0" xfId="0" applyAlignment="1" applyBorder="1" applyFont="1">
      <alignment horizontal="left" vertical="center"/>
    </xf>
    <xf borderId="30" fillId="2" fontId="2" numFmtId="0" xfId="0" applyBorder="1" applyFont="1"/>
    <xf borderId="31" fillId="2" fontId="2" numFmtId="0" xfId="0" applyBorder="1" applyFont="1"/>
    <xf borderId="32" fillId="2" fontId="2" numFmtId="0" xfId="0" applyAlignment="1" applyBorder="1" applyFont="1">
      <alignment horizontal="left" vertical="center"/>
    </xf>
    <xf borderId="2" fillId="2" fontId="2" numFmtId="0" xfId="0" applyBorder="1" applyFont="1"/>
    <xf borderId="33" fillId="2" fontId="2" numFmtId="0" xfId="0" applyBorder="1" applyFont="1"/>
    <xf borderId="0" fillId="0" fontId="13" numFmtId="0" xfId="0" applyAlignment="1" applyFont="1">
      <alignment horizontal="right" vertical="bottom"/>
    </xf>
    <xf borderId="26" fillId="0" fontId="13" numFmtId="0" xfId="0" applyAlignment="1" applyBorder="1" applyFont="1">
      <alignment vertical="bottom"/>
    </xf>
    <xf borderId="26" fillId="0" fontId="13" numFmtId="0" xfId="0" applyAlignment="1" applyBorder="1" applyFont="1">
      <alignment horizontal="right" vertical="bottom"/>
    </xf>
    <xf borderId="2" fillId="3" fontId="1" numFmtId="0" xfId="0" applyAlignment="1" applyBorder="1" applyFont="1">
      <alignment vertical="center"/>
    </xf>
    <xf borderId="2" fillId="3" fontId="4" numFmtId="0" xfId="0" applyBorder="1" applyFont="1"/>
    <xf borderId="34" fillId="2" fontId="2" numFmtId="0" xfId="0" applyAlignment="1" applyBorder="1" applyFont="1">
      <alignment horizontal="left" vertical="center"/>
    </xf>
    <xf borderId="35" fillId="2" fontId="2" numFmtId="0" xfId="0" applyBorder="1" applyFont="1"/>
    <xf borderId="36" fillId="2" fontId="2" numFmtId="0" xfId="0" applyBorder="1" applyFont="1"/>
    <xf borderId="2" fillId="3" fontId="4" numFmtId="0" xfId="0" applyAlignment="1" applyBorder="1" applyFont="1">
      <alignment horizontal="left" vertical="center"/>
    </xf>
    <xf borderId="25" fillId="0" fontId="13" numFmtId="0" xfId="0" applyAlignment="1" applyBorder="1" applyFont="1">
      <alignment vertical="bottom"/>
    </xf>
    <xf borderId="25" fillId="0" fontId="15" numFmtId="0" xfId="0" applyAlignment="1" applyBorder="1" applyFont="1">
      <alignment horizontal="center" vertical="bottom"/>
    </xf>
    <xf borderId="2" fillId="3" fontId="2" numFmtId="0" xfId="0" applyAlignment="1" applyBorder="1" applyFont="1">
      <alignment horizontal="left" vertical="center"/>
    </xf>
    <xf borderId="0" fillId="0" fontId="13" numFmtId="0" xfId="0" applyAlignment="1" applyFont="1">
      <alignment horizontal="center" vertical="bottom"/>
    </xf>
    <xf borderId="34" fillId="9" fontId="4" numFmtId="0" xfId="0" applyBorder="1" applyFont="1"/>
    <xf borderId="35" fillId="9" fontId="4" numFmtId="0" xfId="0" applyBorder="1" applyFont="1"/>
    <xf borderId="36" fillId="9" fontId="4" numFmtId="0" xfId="0" applyBorder="1" applyFont="1"/>
    <xf borderId="25" fillId="0" fontId="13" numFmtId="0" xfId="0" applyAlignment="1" applyBorder="1" applyFont="1">
      <alignment vertical="bottom"/>
    </xf>
    <xf borderId="29" fillId="9" fontId="1" numFmtId="0" xfId="0" applyAlignment="1" applyBorder="1" applyFont="1">
      <alignment vertical="center"/>
    </xf>
    <xf borderId="0" fillId="0" fontId="13" numFmtId="0" xfId="0" applyAlignment="1" applyFont="1">
      <alignment horizontal="center" vertical="bottom"/>
    </xf>
    <xf borderId="29" fillId="2" fontId="1" numFmtId="0" xfId="0" applyAlignment="1" applyBorder="1" applyFont="1">
      <alignment vertical="center"/>
    </xf>
    <xf borderId="30" fillId="2" fontId="4" numFmtId="0" xfId="0" applyBorder="1" applyFont="1"/>
    <xf borderId="31" fillId="2" fontId="4" numFmtId="0" xfId="0" applyBorder="1" applyFont="1"/>
    <xf borderId="32" fillId="2" fontId="4" numFmtId="0" xfId="0" applyAlignment="1" applyBorder="1" applyFont="1">
      <alignment horizontal="left" vertical="center"/>
    </xf>
    <xf borderId="33" fillId="2" fontId="4" numFmtId="0" xfId="0" applyBorder="1" applyFont="1"/>
    <xf borderId="34" fillId="2" fontId="4" numFmtId="0" xfId="0" applyAlignment="1" applyBorder="1" applyFont="1">
      <alignment horizontal="left" vertical="center"/>
    </xf>
    <xf borderId="35" fillId="2" fontId="4" numFmtId="0" xfId="0" applyBorder="1" applyFont="1"/>
    <xf borderId="36" fillId="2" fontId="4" numFmtId="0" xfId="0" applyBorder="1" applyFont="1"/>
    <xf borderId="26" fillId="0" fontId="13" numFmtId="0" xfId="0" applyAlignment="1" applyBorder="1" applyFont="1">
      <alignment vertical="bottom"/>
    </xf>
    <xf borderId="2" fillId="10" fontId="1" numFmtId="0" xfId="0" applyAlignment="1" applyBorder="1" applyFill="1" applyFont="1">
      <alignment vertical="center"/>
    </xf>
    <xf borderId="2" fillId="10" fontId="4" numFmtId="0" xfId="0" applyBorder="1" applyFont="1"/>
    <xf borderId="2" fillId="11" fontId="16" numFmtId="0" xfId="0" applyAlignment="1" applyBorder="1" applyFill="1" applyFont="1">
      <alignment vertical="center"/>
    </xf>
    <xf borderId="2" fillId="11" fontId="4" numFmtId="0" xfId="0" applyBorder="1" applyFont="1"/>
    <xf borderId="26" fillId="0" fontId="13" numFmtId="0" xfId="0" applyAlignment="1" applyBorder="1" applyFont="1">
      <alignment horizontal="center" vertical="bottom"/>
    </xf>
    <xf borderId="2" fillId="10" fontId="4" numFmtId="0" xfId="0" applyAlignment="1" applyBorder="1" applyFont="1">
      <alignment horizontal="left" vertical="center"/>
    </xf>
    <xf borderId="2" fillId="11" fontId="1" numFmtId="0" xfId="0" applyAlignment="1" applyBorder="1" applyFont="1">
      <alignment vertical="center"/>
    </xf>
    <xf borderId="2" fillId="11" fontId="4" numFmtId="0" xfId="0" applyAlignment="1" applyBorder="1" applyFont="1">
      <alignment horizontal="left" vertical="center"/>
    </xf>
    <xf borderId="2" fillId="10" fontId="17" numFmtId="0" xfId="0" applyAlignment="1" applyBorder="1" applyFont="1">
      <alignment horizontal="left" vertical="center"/>
    </xf>
    <xf borderId="2" fillId="10" fontId="2" numFmtId="0" xfId="0" applyBorder="1" applyFont="1"/>
    <xf borderId="2" fillId="10" fontId="2" numFmtId="0" xfId="0" applyAlignment="1" applyBorder="1" applyFont="1">
      <alignment horizontal="left" vertical="center"/>
    </xf>
    <xf borderId="0" fillId="0" fontId="4" numFmtId="0" xfId="0" applyAlignment="1" applyFont="1">
      <alignment readingOrder="0"/>
    </xf>
    <xf borderId="2" fillId="2" fontId="16" numFmtId="0" xfId="0" applyAlignment="1" applyBorder="1" applyFont="1">
      <alignment vertical="center"/>
    </xf>
    <xf borderId="2" fillId="2" fontId="4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vertical="center"/>
    </xf>
    <xf borderId="29" fillId="2" fontId="4" numFmtId="0" xfId="0" applyBorder="1" applyFont="1"/>
    <xf borderId="32" fillId="2" fontId="4" numFmtId="0" xfId="0" applyBorder="1" applyFont="1"/>
    <xf borderId="32" fillId="2" fontId="1" numFmtId="0" xfId="0" applyAlignment="1" applyBorder="1" applyFont="1">
      <alignment vertical="center"/>
    </xf>
    <xf borderId="34" fillId="2" fontId="4" numFmtId="0" xfId="0" applyBorder="1" applyFont="1"/>
    <xf borderId="2" fillId="10" fontId="18" numFmtId="0" xfId="0" applyAlignment="1" applyBorder="1" applyFont="1">
      <alignment horizontal="left" vertical="center"/>
    </xf>
    <xf borderId="37" fillId="4" fontId="4" numFmtId="0" xfId="0" applyAlignment="1" applyBorder="1" applyFont="1">
      <alignment horizontal="left" shrinkToFit="0" wrapText="1"/>
    </xf>
    <xf borderId="38" fillId="0" fontId="8" numFmtId="0" xfId="0" applyBorder="1" applyFont="1"/>
    <xf borderId="39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8.png"/><Relationship Id="rId6" Type="http://schemas.openxmlformats.org/officeDocument/2006/relationships/image" Target="../media/image12.png"/><Relationship Id="rId7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Relationship Id="rId3" Type="http://schemas.openxmlformats.org/officeDocument/2006/relationships/image" Target="../media/image9.png"/><Relationship Id="rId4" Type="http://schemas.openxmlformats.org/officeDocument/2006/relationships/image" Target="../media/image10.png"/><Relationship Id="rId5" Type="http://schemas.openxmlformats.org/officeDocument/2006/relationships/image" Target="../media/image3.png"/><Relationship Id="rId6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13</xdr:row>
      <xdr:rowOff>142875</xdr:rowOff>
    </xdr:from>
    <xdr:ext cx="866775" cy="5476875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6096000" cy="53530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247650</xdr:colOff>
      <xdr:row>13</xdr:row>
      <xdr:rowOff>142875</xdr:rowOff>
    </xdr:from>
    <xdr:ext cx="3600450" cy="54197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457200</xdr:colOff>
      <xdr:row>13</xdr:row>
      <xdr:rowOff>104775</xdr:rowOff>
    </xdr:from>
    <xdr:ext cx="4476750" cy="32385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495300</xdr:colOff>
      <xdr:row>32</xdr:row>
      <xdr:rowOff>38100</xdr:rowOff>
    </xdr:from>
    <xdr:ext cx="2609850" cy="22574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285750</xdr:colOff>
      <xdr:row>13</xdr:row>
      <xdr:rowOff>171450</xdr:rowOff>
    </xdr:from>
    <xdr:ext cx="7019925" cy="3867150"/>
    <xdr:pic>
      <xdr:nvPicPr>
        <xdr:cNvPr id="0" name="image1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361950</xdr:colOff>
      <xdr:row>14</xdr:row>
      <xdr:rowOff>47625</xdr:rowOff>
    </xdr:from>
    <xdr:ext cx="5372100" cy="524827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0</xdr:colOff>
      <xdr:row>35</xdr:row>
      <xdr:rowOff>28575</xdr:rowOff>
    </xdr:from>
    <xdr:ext cx="3019425" cy="57150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104775</xdr:colOff>
      <xdr:row>37</xdr:row>
      <xdr:rowOff>200025</xdr:rowOff>
    </xdr:from>
    <xdr:ext cx="2343150" cy="4953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342900</xdr:colOff>
      <xdr:row>49</xdr:row>
      <xdr:rowOff>171450</xdr:rowOff>
    </xdr:from>
    <xdr:ext cx="1743075" cy="37147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266700</xdr:colOff>
      <xdr:row>50</xdr:row>
      <xdr:rowOff>9525</xdr:rowOff>
    </xdr:from>
    <xdr:ext cx="3409950" cy="676275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142875</xdr:colOff>
      <xdr:row>41</xdr:row>
      <xdr:rowOff>76200</xdr:rowOff>
    </xdr:from>
    <xdr:ext cx="1333500" cy="6191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447675</xdr:colOff>
      <xdr:row>41</xdr:row>
      <xdr:rowOff>114300</xdr:rowOff>
    </xdr:from>
    <xdr:ext cx="1066800" cy="4572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180975</xdr:colOff>
      <xdr:row>8</xdr:row>
      <xdr:rowOff>85725</xdr:rowOff>
    </xdr:from>
    <xdr:ext cx="4581525" cy="2743200"/>
    <xdr:pic>
      <xdr:nvPicPr>
        <xdr:cNvPr id="568840981" name="Chart1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34.75"/>
    <col customWidth="1" min="3" max="3" width="22.75"/>
    <col customWidth="1" min="4" max="4" width="11.88"/>
    <col customWidth="1" min="5" max="6" width="8.75"/>
    <col customWidth="1" min="7" max="26" width="14.38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3" t="s">
        <v>5</v>
      </c>
      <c r="B4" s="3" t="s">
        <v>6</v>
      </c>
      <c r="C4" s="3" t="s">
        <v>7</v>
      </c>
      <c r="D4" s="3" t="s">
        <v>8</v>
      </c>
    </row>
    <row r="5">
      <c r="A5" s="3" t="s">
        <v>5</v>
      </c>
      <c r="B5" s="3" t="s">
        <v>6</v>
      </c>
      <c r="C5" s="3" t="s">
        <v>9</v>
      </c>
      <c r="D5" s="3" t="s">
        <v>10</v>
      </c>
    </row>
    <row r="6">
      <c r="A6" s="3" t="s">
        <v>5</v>
      </c>
      <c r="B6" s="3" t="s">
        <v>6</v>
      </c>
      <c r="C6" s="3" t="s">
        <v>11</v>
      </c>
      <c r="D6" s="3" t="s">
        <v>12</v>
      </c>
    </row>
    <row r="7">
      <c r="A7" s="3" t="s">
        <v>13</v>
      </c>
      <c r="B7" s="4" t="s">
        <v>14</v>
      </c>
      <c r="C7" s="3" t="s">
        <v>7</v>
      </c>
      <c r="D7" s="3" t="s">
        <v>15</v>
      </c>
    </row>
    <row r="8">
      <c r="A8" s="3" t="s">
        <v>13</v>
      </c>
      <c r="B8" s="4" t="s">
        <v>14</v>
      </c>
      <c r="C8" s="3" t="s">
        <v>9</v>
      </c>
      <c r="D8" s="3" t="s">
        <v>16</v>
      </c>
    </row>
    <row r="9">
      <c r="A9" s="3" t="s">
        <v>13</v>
      </c>
      <c r="B9" s="4" t="s">
        <v>14</v>
      </c>
      <c r="C9" s="3" t="s">
        <v>11</v>
      </c>
      <c r="D9" s="3" t="s">
        <v>17</v>
      </c>
    </row>
    <row r="10">
      <c r="A10" s="3" t="s">
        <v>18</v>
      </c>
      <c r="B10" s="4" t="s">
        <v>19</v>
      </c>
      <c r="C10" s="3" t="s">
        <v>7</v>
      </c>
      <c r="D10" s="3" t="s">
        <v>20</v>
      </c>
    </row>
    <row r="11">
      <c r="A11" s="3" t="s">
        <v>18</v>
      </c>
      <c r="B11" s="4" t="s">
        <v>19</v>
      </c>
      <c r="C11" s="3" t="s">
        <v>9</v>
      </c>
      <c r="D11" s="3" t="s">
        <v>21</v>
      </c>
    </row>
    <row r="12">
      <c r="A12" s="3" t="s">
        <v>18</v>
      </c>
      <c r="B12" s="4" t="s">
        <v>19</v>
      </c>
      <c r="C12" s="3" t="s">
        <v>11</v>
      </c>
      <c r="D12" s="3" t="s">
        <v>22</v>
      </c>
    </row>
    <row r="13">
      <c r="A13" s="3" t="s">
        <v>23</v>
      </c>
      <c r="B13" s="4" t="s">
        <v>24</v>
      </c>
      <c r="C13" s="3" t="s">
        <v>7</v>
      </c>
      <c r="D13" s="3" t="s">
        <v>25</v>
      </c>
    </row>
    <row r="14">
      <c r="A14" s="3" t="s">
        <v>23</v>
      </c>
      <c r="B14" s="4" t="s">
        <v>24</v>
      </c>
      <c r="C14" s="3" t="s">
        <v>9</v>
      </c>
      <c r="D14" s="3" t="s">
        <v>26</v>
      </c>
    </row>
    <row r="15">
      <c r="A15" s="3" t="s">
        <v>23</v>
      </c>
      <c r="B15" s="4" t="s">
        <v>24</v>
      </c>
      <c r="C15" s="3" t="s">
        <v>11</v>
      </c>
      <c r="D15" s="3" t="s">
        <v>27</v>
      </c>
    </row>
    <row r="16">
      <c r="A16" s="3" t="s">
        <v>28</v>
      </c>
      <c r="B16" s="4" t="s">
        <v>29</v>
      </c>
      <c r="C16" s="3" t="s">
        <v>7</v>
      </c>
      <c r="D16" s="3" t="s">
        <v>30</v>
      </c>
    </row>
    <row r="17">
      <c r="A17" s="3" t="s">
        <v>28</v>
      </c>
      <c r="B17" s="4" t="s">
        <v>29</v>
      </c>
      <c r="C17" s="3" t="s">
        <v>9</v>
      </c>
      <c r="D17" s="3" t="s">
        <v>31</v>
      </c>
    </row>
    <row r="18">
      <c r="A18" s="3" t="s">
        <v>28</v>
      </c>
      <c r="B18" s="4" t="s">
        <v>29</v>
      </c>
      <c r="C18" s="3" t="s">
        <v>11</v>
      </c>
      <c r="D18" s="3" t="s">
        <v>32</v>
      </c>
    </row>
    <row r="19">
      <c r="A19" s="5" t="s">
        <v>33</v>
      </c>
      <c r="B19" s="5" t="s">
        <v>34</v>
      </c>
      <c r="C19" s="5" t="s">
        <v>35</v>
      </c>
      <c r="D19" s="5" t="s">
        <v>36</v>
      </c>
    </row>
    <row r="20">
      <c r="A20" s="5" t="s">
        <v>33</v>
      </c>
      <c r="B20" s="5" t="s">
        <v>34</v>
      </c>
      <c r="C20" s="5" t="s">
        <v>37</v>
      </c>
      <c r="D20" s="5" t="s">
        <v>38</v>
      </c>
    </row>
    <row r="21" ht="15.75" customHeight="1">
      <c r="A21" s="5" t="s">
        <v>33</v>
      </c>
      <c r="B21" s="5" t="s">
        <v>34</v>
      </c>
      <c r="C21" s="5" t="s">
        <v>39</v>
      </c>
      <c r="D21" s="5" t="s">
        <v>40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3.0"/>
    <col customWidth="1" min="3" max="3" width="24.88"/>
    <col customWidth="1" min="4" max="8" width="8.75"/>
    <col customWidth="1" min="9" max="9" width="6.13"/>
    <col customWidth="1" min="10" max="10" width="12.88"/>
    <col customWidth="1" min="11" max="11" width="24.25"/>
    <col customWidth="1" min="12" max="12" width="14.88"/>
    <col customWidth="1" min="13" max="13" width="13.0"/>
    <col customWidth="1" min="14" max="14" width="18.0"/>
    <col customWidth="1" min="15" max="15" width="20.75"/>
    <col customWidth="1" min="16" max="16" width="21.13"/>
    <col customWidth="1" min="17" max="17" width="21.0"/>
    <col customWidth="1" min="18" max="18" width="18.75"/>
    <col customWidth="1" min="19" max="19" width="25.0"/>
    <col customWidth="1" min="20" max="21" width="24.88"/>
    <col customWidth="1" min="22" max="26" width="14.38"/>
  </cols>
  <sheetData>
    <row r="1">
      <c r="A1" s="6" t="s">
        <v>41</v>
      </c>
      <c r="S1" s="7"/>
      <c r="T1" s="7"/>
      <c r="U1" s="7"/>
    </row>
    <row r="2">
      <c r="S2" s="7"/>
      <c r="T2" s="7"/>
      <c r="U2" s="7"/>
    </row>
    <row r="3">
      <c r="A3" s="8" t="s">
        <v>42</v>
      </c>
      <c r="S3" s="7"/>
      <c r="T3" s="7"/>
      <c r="U3" s="7"/>
    </row>
    <row r="4" ht="18.0" customHeight="1">
      <c r="A4" s="9" t="s">
        <v>43</v>
      </c>
      <c r="B4" s="9" t="s">
        <v>44</v>
      </c>
      <c r="C4" s="9" t="s">
        <v>45</v>
      </c>
      <c r="D4" s="10" t="s">
        <v>46</v>
      </c>
      <c r="E4" s="10" t="s">
        <v>47</v>
      </c>
      <c r="F4" s="10" t="s">
        <v>48</v>
      </c>
      <c r="G4" s="9" t="s">
        <v>49</v>
      </c>
      <c r="H4" s="9" t="s">
        <v>50</v>
      </c>
      <c r="I4" s="9" t="s">
        <v>51</v>
      </c>
      <c r="J4" s="9" t="s">
        <v>52</v>
      </c>
      <c r="K4" s="9" t="s">
        <v>53</v>
      </c>
      <c r="L4" s="11" t="s">
        <v>54</v>
      </c>
      <c r="M4" s="11" t="s">
        <v>55</v>
      </c>
      <c r="N4" s="9" t="s">
        <v>56</v>
      </c>
      <c r="O4" s="9" t="s">
        <v>57</v>
      </c>
      <c r="P4" s="9" t="s">
        <v>58</v>
      </c>
      <c r="Q4" s="9" t="s">
        <v>59</v>
      </c>
      <c r="R4" s="9" t="s">
        <v>60</v>
      </c>
      <c r="S4" s="12" t="s">
        <v>61</v>
      </c>
      <c r="T4" s="13" t="s">
        <v>62</v>
      </c>
      <c r="U4" s="13" t="s">
        <v>63</v>
      </c>
    </row>
    <row r="5">
      <c r="A5" s="14" t="s">
        <v>64</v>
      </c>
      <c r="B5" s="15" t="s">
        <v>65</v>
      </c>
      <c r="C5" s="16" t="s">
        <v>66</v>
      </c>
      <c r="D5" s="17">
        <v>63.0</v>
      </c>
      <c r="E5" s="17">
        <v>108.0</v>
      </c>
      <c r="F5" s="17">
        <v>212.0</v>
      </c>
      <c r="G5" s="18">
        <v>255.0</v>
      </c>
      <c r="H5" s="18">
        <v>255.0</v>
      </c>
      <c r="I5" s="18">
        <v>255.0</v>
      </c>
      <c r="J5" s="19">
        <f t="shared" ref="J5:J14" si="2">(0.2126*(D5/255)^2.2) + (0.7152*(E5/255)^2.2) + (0.0722*(F5/255)^2.2)</f>
        <v>0.1659416042</v>
      </c>
      <c r="K5" s="19">
        <f t="shared" ref="K5:K14" si="3">(0.2126*(G5/255)^2.2) + (0.7152*(H5/255)^2.2) + (0.0722*(I5/255)^2.2)</f>
        <v>1</v>
      </c>
      <c r="L5" s="19">
        <f t="shared" ref="L5:L14" si="4">MAX(J5,K5)</f>
        <v>1</v>
      </c>
      <c r="M5" s="19">
        <f t="shared" ref="M5:M14" si="5">MIN(J5,K5)</f>
        <v>0.1659416042</v>
      </c>
      <c r="N5" s="19">
        <f t="shared" ref="N5:O5" si="1">L5+0.05</f>
        <v>1.05</v>
      </c>
      <c r="O5" s="19">
        <f t="shared" si="1"/>
        <v>0.2159416042</v>
      </c>
      <c r="P5" s="19">
        <f t="shared" ref="P5:P14" si="7">N5*(1/O5)</f>
        <v>4.862425673</v>
      </c>
      <c r="Q5" s="20" t="s">
        <v>67</v>
      </c>
      <c r="R5" s="19" t="str">
        <f t="shared" ref="R5:R7" si="8">IF(P5&lt;3,"Low",IF(P5&lt;7,"Medium","High"))</f>
        <v>Medium</v>
      </c>
      <c r="S5" s="21">
        <f t="shared" ref="S5:S14" si="9">IF(R5="Low",1,0)</f>
        <v>0</v>
      </c>
      <c r="T5" s="22">
        <f t="shared" ref="T5:T14" si="10">IF(R5="Medium",1,0)</f>
        <v>1</v>
      </c>
      <c r="U5" s="22">
        <f t="shared" ref="U5:U14" si="11">IF(R5="High",1,0)</f>
        <v>0</v>
      </c>
    </row>
    <row r="6">
      <c r="A6" s="14" t="s">
        <v>68</v>
      </c>
      <c r="B6" s="15" t="s">
        <v>69</v>
      </c>
      <c r="C6" s="16" t="s">
        <v>66</v>
      </c>
      <c r="D6" s="17">
        <v>87.0</v>
      </c>
      <c r="E6" s="17">
        <v>87.0</v>
      </c>
      <c r="F6" s="17">
        <v>87.0</v>
      </c>
      <c r="G6" s="17">
        <v>255.0</v>
      </c>
      <c r="H6" s="17">
        <v>255.0</v>
      </c>
      <c r="I6" s="17">
        <v>255.0</v>
      </c>
      <c r="J6" s="19">
        <f t="shared" si="2"/>
        <v>0.09387586653</v>
      </c>
      <c r="K6" s="19">
        <f t="shared" si="3"/>
        <v>1</v>
      </c>
      <c r="L6" s="19">
        <f t="shared" si="4"/>
        <v>1</v>
      </c>
      <c r="M6" s="19">
        <f t="shared" si="5"/>
        <v>0.09387586653</v>
      </c>
      <c r="N6" s="19">
        <f t="shared" ref="N6:O6" si="6">L6+0.05</f>
        <v>1.05</v>
      </c>
      <c r="O6" s="19">
        <f t="shared" si="6"/>
        <v>0.1438758665</v>
      </c>
      <c r="P6" s="19">
        <f t="shared" si="7"/>
        <v>7.297957784</v>
      </c>
      <c r="Q6" s="23" t="s">
        <v>70</v>
      </c>
      <c r="R6" s="19" t="str">
        <f t="shared" si="8"/>
        <v>High</v>
      </c>
      <c r="S6" s="21">
        <f t="shared" si="9"/>
        <v>0</v>
      </c>
      <c r="T6" s="22">
        <f t="shared" si="10"/>
        <v>0</v>
      </c>
      <c r="U6" s="22">
        <f t="shared" si="11"/>
        <v>1</v>
      </c>
    </row>
    <row r="7">
      <c r="A7" s="14" t="s">
        <v>71</v>
      </c>
      <c r="B7" s="15" t="s">
        <v>72</v>
      </c>
      <c r="C7" s="16" t="s">
        <v>66</v>
      </c>
      <c r="D7" s="17">
        <v>49.0</v>
      </c>
      <c r="E7" s="17">
        <v>50.0</v>
      </c>
      <c r="F7" s="17">
        <v>69.0</v>
      </c>
      <c r="G7" s="17">
        <v>255.0</v>
      </c>
      <c r="H7" s="17">
        <v>255.0</v>
      </c>
      <c r="I7" s="17">
        <v>255.0</v>
      </c>
      <c r="J7" s="19">
        <f t="shared" si="2"/>
        <v>0.02956503605</v>
      </c>
      <c r="K7" s="19">
        <f t="shared" si="3"/>
        <v>1</v>
      </c>
      <c r="L7" s="19">
        <f t="shared" si="4"/>
        <v>1</v>
      </c>
      <c r="M7" s="19">
        <f t="shared" si="5"/>
        <v>0.02956503605</v>
      </c>
      <c r="N7" s="19">
        <f t="shared" ref="N7:O7" si="12">L7+0.05</f>
        <v>1.05</v>
      </c>
      <c r="O7" s="19">
        <f t="shared" si="12"/>
        <v>0.07956503605</v>
      </c>
      <c r="P7" s="19">
        <f t="shared" si="7"/>
        <v>13.19675139</v>
      </c>
      <c r="Q7" s="23" t="s">
        <v>73</v>
      </c>
      <c r="R7" s="19" t="str">
        <f t="shared" si="8"/>
        <v>High</v>
      </c>
      <c r="S7" s="22">
        <f t="shared" si="9"/>
        <v>0</v>
      </c>
      <c r="T7" s="21">
        <f t="shared" si="10"/>
        <v>0</v>
      </c>
      <c r="U7" s="22">
        <f t="shared" si="11"/>
        <v>1</v>
      </c>
    </row>
    <row r="8">
      <c r="A8" s="14" t="s">
        <v>74</v>
      </c>
      <c r="B8" s="15" t="s">
        <v>75</v>
      </c>
      <c r="C8" s="16" t="s">
        <v>66</v>
      </c>
      <c r="D8" s="17">
        <v>24.0</v>
      </c>
      <c r="E8" s="17">
        <v>101.0</v>
      </c>
      <c r="F8" s="17">
        <v>242.0</v>
      </c>
      <c r="G8" s="17">
        <v>255.0</v>
      </c>
      <c r="H8" s="17">
        <v>255.0</v>
      </c>
      <c r="I8" s="17">
        <v>255.0</v>
      </c>
      <c r="J8" s="19">
        <f t="shared" si="2"/>
        <v>0.1587509913</v>
      </c>
      <c r="K8" s="19">
        <f t="shared" si="3"/>
        <v>1</v>
      </c>
      <c r="L8" s="19">
        <f t="shared" si="4"/>
        <v>1</v>
      </c>
      <c r="M8" s="19">
        <f t="shared" si="5"/>
        <v>0.1587509913</v>
      </c>
      <c r="N8" s="19">
        <f t="shared" ref="N8:O8" si="13">L8+0.05</f>
        <v>1.05</v>
      </c>
      <c r="O8" s="19">
        <f t="shared" si="13"/>
        <v>0.2087509913</v>
      </c>
      <c r="P8" s="19">
        <f t="shared" si="7"/>
        <v>5.029916234</v>
      </c>
      <c r="Q8" s="20" t="s">
        <v>76</v>
      </c>
      <c r="R8" s="19" t="str">
        <f t="shared" ref="R8:R9" si="15">IF(P8&lt;3,"Low",IF(O8&lt;7,"Medium","High"))</f>
        <v>Medium</v>
      </c>
      <c r="S8" s="22">
        <f t="shared" si="9"/>
        <v>0</v>
      </c>
      <c r="T8" s="21">
        <f t="shared" si="10"/>
        <v>1</v>
      </c>
      <c r="U8" s="22">
        <f t="shared" si="11"/>
        <v>0</v>
      </c>
    </row>
    <row r="9">
      <c r="A9" s="14" t="s">
        <v>77</v>
      </c>
      <c r="B9" s="15" t="s">
        <v>78</v>
      </c>
      <c r="C9" s="16" t="s">
        <v>66</v>
      </c>
      <c r="D9" s="17">
        <v>64.0</v>
      </c>
      <c r="E9" s="17">
        <v>64.0</v>
      </c>
      <c r="F9" s="17">
        <v>64.0</v>
      </c>
      <c r="G9" s="17">
        <v>255.0</v>
      </c>
      <c r="H9" s="17">
        <v>255.0</v>
      </c>
      <c r="I9" s="17">
        <v>255.0</v>
      </c>
      <c r="J9" s="19">
        <f t="shared" si="2"/>
        <v>0.04777575356</v>
      </c>
      <c r="K9" s="19">
        <f t="shared" si="3"/>
        <v>1</v>
      </c>
      <c r="L9" s="19">
        <f t="shared" si="4"/>
        <v>1</v>
      </c>
      <c r="M9" s="19">
        <f t="shared" si="5"/>
        <v>0.04777575356</v>
      </c>
      <c r="N9" s="19">
        <f t="shared" ref="N9:O9" si="14">L9+0.05</f>
        <v>1.05</v>
      </c>
      <c r="O9" s="19">
        <f t="shared" si="14"/>
        <v>0.09777575356</v>
      </c>
      <c r="P9" s="19">
        <f t="shared" si="7"/>
        <v>10.73885868</v>
      </c>
      <c r="Q9" s="23" t="s">
        <v>79</v>
      </c>
      <c r="R9" s="19" t="str">
        <f t="shared" si="15"/>
        <v>Medium</v>
      </c>
      <c r="S9" s="21">
        <f t="shared" si="9"/>
        <v>0</v>
      </c>
      <c r="T9" s="22">
        <f t="shared" si="10"/>
        <v>1</v>
      </c>
      <c r="U9" s="22">
        <f t="shared" si="11"/>
        <v>0</v>
      </c>
    </row>
    <row r="10">
      <c r="A10" s="14" t="s">
        <v>80</v>
      </c>
      <c r="B10" s="15" t="s">
        <v>81</v>
      </c>
      <c r="C10" s="16" t="s">
        <v>66</v>
      </c>
      <c r="D10" s="17">
        <v>222.0</v>
      </c>
      <c r="E10" s="17">
        <v>0.0</v>
      </c>
      <c r="F10" s="17">
        <v>166.0</v>
      </c>
      <c r="G10" s="17">
        <v>255.0</v>
      </c>
      <c r="H10" s="17">
        <v>255.0</v>
      </c>
      <c r="I10" s="17">
        <v>255.0</v>
      </c>
      <c r="J10" s="19">
        <f t="shared" si="2"/>
        <v>0.1848090583</v>
      </c>
      <c r="K10" s="19">
        <f t="shared" si="3"/>
        <v>1</v>
      </c>
      <c r="L10" s="19">
        <f t="shared" si="4"/>
        <v>1</v>
      </c>
      <c r="M10" s="19">
        <f t="shared" si="5"/>
        <v>0.1848090583</v>
      </c>
      <c r="N10" s="19">
        <f t="shared" ref="N10:O10" si="16">L10+0.05</f>
        <v>1.05</v>
      </c>
      <c r="O10" s="19">
        <f t="shared" si="16"/>
        <v>0.2348090583</v>
      </c>
      <c r="P10" s="19">
        <f t="shared" si="7"/>
        <v>4.471718457</v>
      </c>
      <c r="Q10" s="23" t="s">
        <v>82</v>
      </c>
      <c r="R10" s="19" t="str">
        <f t="shared" ref="R10:R12" si="18">IF(P10&lt;3,"Low",IF(P10&lt;7,"Medium","High"))</f>
        <v>Medium</v>
      </c>
      <c r="S10" s="21">
        <f t="shared" si="9"/>
        <v>0</v>
      </c>
      <c r="T10" s="22">
        <f t="shared" si="10"/>
        <v>1</v>
      </c>
      <c r="U10" s="22">
        <f t="shared" si="11"/>
        <v>0</v>
      </c>
    </row>
    <row r="11">
      <c r="A11" s="14" t="s">
        <v>83</v>
      </c>
      <c r="B11" s="15" t="s">
        <v>84</v>
      </c>
      <c r="C11" s="16" t="s">
        <v>66</v>
      </c>
      <c r="D11" s="17">
        <v>73.0</v>
      </c>
      <c r="E11" s="17">
        <v>84.0</v>
      </c>
      <c r="F11" s="17">
        <v>92.0</v>
      </c>
      <c r="G11" s="17">
        <v>255.0</v>
      </c>
      <c r="H11" s="17">
        <v>255.0</v>
      </c>
      <c r="I11" s="17">
        <v>255.0</v>
      </c>
      <c r="J11" s="19">
        <f t="shared" si="2"/>
        <v>0.08338328494</v>
      </c>
      <c r="K11" s="19">
        <f t="shared" si="3"/>
        <v>1</v>
      </c>
      <c r="L11" s="19">
        <f t="shared" si="4"/>
        <v>1</v>
      </c>
      <c r="M11" s="19">
        <f t="shared" si="5"/>
        <v>0.08338328494</v>
      </c>
      <c r="N11" s="19">
        <f t="shared" ref="N11:O11" si="17">L11+0.05</f>
        <v>1.05</v>
      </c>
      <c r="O11" s="19">
        <f t="shared" si="17"/>
        <v>0.1333832849</v>
      </c>
      <c r="P11" s="19">
        <f t="shared" si="7"/>
        <v>7.872050838</v>
      </c>
      <c r="Q11" s="20" t="s">
        <v>85</v>
      </c>
      <c r="R11" s="19" t="str">
        <f t="shared" si="18"/>
        <v>High</v>
      </c>
      <c r="S11" s="21">
        <f t="shared" si="9"/>
        <v>0</v>
      </c>
      <c r="T11" s="22">
        <f t="shared" si="10"/>
        <v>0</v>
      </c>
      <c r="U11" s="22">
        <f t="shared" si="11"/>
        <v>1</v>
      </c>
    </row>
    <row r="12">
      <c r="A12" s="14" t="s">
        <v>86</v>
      </c>
      <c r="B12" s="15" t="s">
        <v>87</v>
      </c>
      <c r="C12" s="16" t="s">
        <v>66</v>
      </c>
      <c r="D12" s="17">
        <v>12.0</v>
      </c>
      <c r="E12" s="17">
        <v>39.0</v>
      </c>
      <c r="F12" s="17">
        <v>69.0</v>
      </c>
      <c r="G12" s="17">
        <v>255.0</v>
      </c>
      <c r="H12" s="17">
        <v>255.0</v>
      </c>
      <c r="I12" s="17">
        <v>255.0</v>
      </c>
      <c r="J12" s="19">
        <f t="shared" si="2"/>
        <v>0.01581731934</v>
      </c>
      <c r="K12" s="19">
        <f t="shared" si="3"/>
        <v>1</v>
      </c>
      <c r="L12" s="19">
        <f t="shared" si="4"/>
        <v>1</v>
      </c>
      <c r="M12" s="19">
        <f t="shared" si="5"/>
        <v>0.01581731934</v>
      </c>
      <c r="N12" s="19">
        <f t="shared" ref="N12:O12" si="19">L12+0.05</f>
        <v>1.05</v>
      </c>
      <c r="O12" s="19">
        <f t="shared" si="19"/>
        <v>0.06581731934</v>
      </c>
      <c r="P12" s="19">
        <f t="shared" si="7"/>
        <v>15.95324772</v>
      </c>
      <c r="Q12" s="23" t="s">
        <v>88</v>
      </c>
      <c r="R12" s="19" t="str">
        <f t="shared" si="18"/>
        <v>High</v>
      </c>
      <c r="S12" s="21">
        <f t="shared" si="9"/>
        <v>0</v>
      </c>
      <c r="T12" s="22">
        <f t="shared" si="10"/>
        <v>0</v>
      </c>
      <c r="U12" s="22">
        <f t="shared" si="11"/>
        <v>1</v>
      </c>
    </row>
    <row r="13">
      <c r="A13" s="14" t="s">
        <v>89</v>
      </c>
      <c r="B13" s="15" t="s">
        <v>90</v>
      </c>
      <c r="C13" s="16" t="s">
        <v>66</v>
      </c>
      <c r="D13" s="17">
        <v>54.0</v>
      </c>
      <c r="E13" s="17">
        <v>62.0</v>
      </c>
      <c r="F13" s="17">
        <v>64.0</v>
      </c>
      <c r="G13" s="17">
        <v>255.0</v>
      </c>
      <c r="H13" s="17">
        <v>255.0</v>
      </c>
      <c r="I13" s="17">
        <v>255.0</v>
      </c>
      <c r="J13" s="19">
        <f t="shared" si="2"/>
        <v>0.04230286841</v>
      </c>
      <c r="K13" s="19">
        <f t="shared" si="3"/>
        <v>1</v>
      </c>
      <c r="L13" s="19">
        <f t="shared" si="4"/>
        <v>1</v>
      </c>
      <c r="M13" s="19">
        <f t="shared" si="5"/>
        <v>0.04230286841</v>
      </c>
      <c r="N13" s="19">
        <f t="shared" ref="N13:O13" si="20">L13+0.05</f>
        <v>1.05</v>
      </c>
      <c r="O13" s="19">
        <f t="shared" si="20"/>
        <v>0.09230286841</v>
      </c>
      <c r="P13" s="19">
        <f t="shared" si="7"/>
        <v>11.37559448</v>
      </c>
      <c r="Q13" s="23" t="s">
        <v>91</v>
      </c>
      <c r="R13" s="19" t="str">
        <f t="shared" ref="R13:R14" si="22">IF(P13&lt;3,"Low",IF(O13&lt;7,"Medium","High"))</f>
        <v>Medium</v>
      </c>
      <c r="S13" s="21">
        <f t="shared" si="9"/>
        <v>0</v>
      </c>
      <c r="T13" s="22">
        <f t="shared" si="10"/>
        <v>1</v>
      </c>
      <c r="U13" s="22">
        <f t="shared" si="11"/>
        <v>0</v>
      </c>
    </row>
    <row r="14">
      <c r="A14" s="14" t="s">
        <v>92</v>
      </c>
      <c r="B14" s="15" t="s">
        <v>93</v>
      </c>
      <c r="C14" s="16" t="s">
        <v>66</v>
      </c>
      <c r="D14" s="17">
        <v>75.0</v>
      </c>
      <c r="E14" s="17">
        <v>37.0</v>
      </c>
      <c r="F14" s="17">
        <v>179.0</v>
      </c>
      <c r="G14" s="17">
        <v>255.0</v>
      </c>
      <c r="H14" s="17">
        <v>255.0</v>
      </c>
      <c r="I14" s="17">
        <v>255.0</v>
      </c>
      <c r="J14" s="19">
        <f t="shared" si="2"/>
        <v>0.05777869946</v>
      </c>
      <c r="K14" s="19">
        <f t="shared" si="3"/>
        <v>1</v>
      </c>
      <c r="L14" s="19">
        <f t="shared" si="4"/>
        <v>1</v>
      </c>
      <c r="M14" s="19">
        <f t="shared" si="5"/>
        <v>0.05777869946</v>
      </c>
      <c r="N14" s="19">
        <f t="shared" ref="N14:O14" si="21">L14+0.05</f>
        <v>1.05</v>
      </c>
      <c r="O14" s="19">
        <f t="shared" si="21"/>
        <v>0.1077786995</v>
      </c>
      <c r="P14" s="19">
        <f t="shared" si="7"/>
        <v>9.742184729</v>
      </c>
      <c r="Q14" s="20" t="s">
        <v>94</v>
      </c>
      <c r="R14" s="19" t="str">
        <f t="shared" si="22"/>
        <v>Medium</v>
      </c>
      <c r="S14" s="21">
        <f t="shared" si="9"/>
        <v>0</v>
      </c>
      <c r="T14" s="22">
        <f t="shared" si="10"/>
        <v>1</v>
      </c>
      <c r="U14" s="22">
        <f t="shared" si="11"/>
        <v>0</v>
      </c>
    </row>
    <row r="15">
      <c r="O15" s="24"/>
      <c r="S15" s="7"/>
      <c r="T15" s="7"/>
      <c r="U15" s="7"/>
    </row>
    <row r="16">
      <c r="A16" s="25" t="s">
        <v>95</v>
      </c>
      <c r="O16" s="26"/>
      <c r="P16" s="26"/>
      <c r="Q16" s="26"/>
      <c r="S16" s="7"/>
      <c r="T16" s="7"/>
      <c r="U16" s="7"/>
    </row>
    <row r="17">
      <c r="A17" s="2" t="s">
        <v>43</v>
      </c>
      <c r="B17" s="9" t="s">
        <v>44</v>
      </c>
      <c r="C17" s="9" t="s">
        <v>45</v>
      </c>
      <c r="D17" s="10" t="s">
        <v>46</v>
      </c>
      <c r="E17" s="10" t="s">
        <v>47</v>
      </c>
      <c r="F17" s="10" t="s">
        <v>48</v>
      </c>
      <c r="G17" s="9" t="s">
        <v>49</v>
      </c>
      <c r="H17" s="9" t="s">
        <v>50</v>
      </c>
      <c r="I17" s="9" t="s">
        <v>51</v>
      </c>
      <c r="J17" s="9" t="s">
        <v>52</v>
      </c>
      <c r="K17" s="9" t="s">
        <v>53</v>
      </c>
      <c r="L17" s="11" t="s">
        <v>54</v>
      </c>
      <c r="M17" s="11" t="s">
        <v>55</v>
      </c>
      <c r="N17" s="9" t="s">
        <v>56</v>
      </c>
      <c r="O17" s="11" t="s">
        <v>57</v>
      </c>
      <c r="P17" s="11" t="s">
        <v>58</v>
      </c>
      <c r="Q17" s="11" t="s">
        <v>59</v>
      </c>
      <c r="R17" s="9" t="s">
        <v>60</v>
      </c>
      <c r="S17" s="13" t="s">
        <v>96</v>
      </c>
      <c r="T17" s="12" t="s">
        <v>97</v>
      </c>
      <c r="U17" s="13" t="s">
        <v>98</v>
      </c>
    </row>
    <row r="18">
      <c r="A18" s="14" t="s">
        <v>64</v>
      </c>
      <c r="B18" s="27" t="s">
        <v>99</v>
      </c>
      <c r="C18" s="16" t="s">
        <v>66</v>
      </c>
      <c r="D18" s="17">
        <v>0.0</v>
      </c>
      <c r="E18" s="17">
        <v>87.0</v>
      </c>
      <c r="F18" s="17">
        <v>29.0</v>
      </c>
      <c r="G18" s="18">
        <v>255.0</v>
      </c>
      <c r="H18" s="18">
        <v>255.0</v>
      </c>
      <c r="I18" s="18">
        <v>255.0</v>
      </c>
      <c r="J18" s="19">
        <f t="shared" ref="J18:J27" si="24">(0.2126*(D18/255)^2.2) + (0.7152*(E18/255)^2.2) + (0.0722*(F18/255)^2.2)</f>
        <v>0.06774455884</v>
      </c>
      <c r="K18" s="19">
        <f t="shared" ref="K18:K27" si="25">(0.2126*(G18/255)^2.2) + (0.7152*(H18/255)^2.2) + (0.0722*(I18/255)^2.2)</f>
        <v>1</v>
      </c>
      <c r="L18" s="19">
        <f t="shared" ref="L18:L27" si="26">MAX(J18,K18)</f>
        <v>1</v>
      </c>
      <c r="M18" s="19">
        <f t="shared" ref="M18:M27" si="27">MIN(J18,K18)</f>
        <v>0.06774455884</v>
      </c>
      <c r="N18" s="19">
        <f t="shared" ref="N18:O18" si="23">L18+0.05</f>
        <v>1.05</v>
      </c>
      <c r="O18" s="19">
        <f t="shared" si="23"/>
        <v>0.1177445588</v>
      </c>
      <c r="P18" s="19">
        <f t="shared" ref="P18:P27" si="29">N18*(1/O18)</f>
        <v>8.91760953</v>
      </c>
      <c r="Q18" s="20" t="s">
        <v>100</v>
      </c>
      <c r="R18" s="19" t="str">
        <f>IF(P18&lt;3,"Low",IF(P18&lt;7,"Medium","High"))</f>
        <v>High</v>
      </c>
      <c r="S18" s="21">
        <f t="shared" ref="S18:S27" si="30">IF(R18="Low",1,0)</f>
        <v>0</v>
      </c>
      <c r="T18" s="22">
        <f t="shared" ref="T18:T27" si="31">IF(R18="Medium",1,0)</f>
        <v>0</v>
      </c>
      <c r="U18" s="22">
        <f t="shared" ref="U18:U27" si="32">IF(R18="High",1,0)</f>
        <v>1</v>
      </c>
    </row>
    <row r="19">
      <c r="A19" s="14" t="s">
        <v>68</v>
      </c>
      <c r="B19" s="27" t="s">
        <v>101</v>
      </c>
      <c r="C19" s="16" t="s">
        <v>66</v>
      </c>
      <c r="D19" s="17">
        <v>2.0</v>
      </c>
      <c r="E19" s="17">
        <v>39.0</v>
      </c>
      <c r="F19" s="17">
        <v>43.0</v>
      </c>
      <c r="G19" s="17">
        <v>255.0</v>
      </c>
      <c r="H19" s="17">
        <v>255.0</v>
      </c>
      <c r="I19" s="17">
        <v>255.0</v>
      </c>
      <c r="J19" s="19">
        <f t="shared" si="24"/>
        <v>0.01293464715</v>
      </c>
      <c r="K19" s="19">
        <f t="shared" si="25"/>
        <v>1</v>
      </c>
      <c r="L19" s="19">
        <f t="shared" si="26"/>
        <v>1</v>
      </c>
      <c r="M19" s="19">
        <f t="shared" si="27"/>
        <v>0.01293464715</v>
      </c>
      <c r="N19" s="19">
        <f t="shared" ref="N19:O19" si="28">L19+0.05</f>
        <v>1.05</v>
      </c>
      <c r="O19" s="19">
        <f t="shared" si="28"/>
        <v>0.06293464715</v>
      </c>
      <c r="P19" s="19">
        <f t="shared" si="29"/>
        <v>16.68397373</v>
      </c>
      <c r="Q19" s="23" t="s">
        <v>102</v>
      </c>
      <c r="R19" s="19" t="str">
        <f t="shared" ref="R19:R27" si="34">IF(P19&lt;3,"Low",IF(O19&lt;7,"Medium","High"))</f>
        <v>Medium</v>
      </c>
      <c r="S19" s="22">
        <f t="shared" si="30"/>
        <v>0</v>
      </c>
      <c r="T19" s="21">
        <f t="shared" si="31"/>
        <v>1</v>
      </c>
      <c r="U19" s="22">
        <f t="shared" si="32"/>
        <v>0</v>
      </c>
    </row>
    <row r="20">
      <c r="A20" s="14" t="s">
        <v>71</v>
      </c>
      <c r="B20" s="27" t="s">
        <v>103</v>
      </c>
      <c r="C20" s="16" t="s">
        <v>66</v>
      </c>
      <c r="D20" s="17">
        <v>0.0</v>
      </c>
      <c r="E20" s="17">
        <v>0.0</v>
      </c>
      <c r="F20" s="17">
        <v>0.0</v>
      </c>
      <c r="G20" s="17">
        <v>255.0</v>
      </c>
      <c r="H20" s="17">
        <v>255.0</v>
      </c>
      <c r="I20" s="17">
        <v>255.0</v>
      </c>
      <c r="J20" s="19">
        <f t="shared" si="24"/>
        <v>0</v>
      </c>
      <c r="K20" s="19">
        <f t="shared" si="25"/>
        <v>1</v>
      </c>
      <c r="L20" s="19">
        <f t="shared" si="26"/>
        <v>1</v>
      </c>
      <c r="M20" s="19">
        <f t="shared" si="27"/>
        <v>0</v>
      </c>
      <c r="N20" s="19">
        <f t="shared" ref="N20:O20" si="33">L20+0.05</f>
        <v>1.05</v>
      </c>
      <c r="O20" s="19">
        <f t="shared" si="33"/>
        <v>0.05</v>
      </c>
      <c r="P20" s="19">
        <f t="shared" si="29"/>
        <v>21</v>
      </c>
      <c r="Q20" s="23" t="s">
        <v>104</v>
      </c>
      <c r="R20" s="19" t="str">
        <f t="shared" si="34"/>
        <v>Medium</v>
      </c>
      <c r="S20" s="22">
        <f t="shared" si="30"/>
        <v>0</v>
      </c>
      <c r="T20" s="21">
        <f t="shared" si="31"/>
        <v>1</v>
      </c>
      <c r="U20" s="22">
        <f t="shared" si="32"/>
        <v>0</v>
      </c>
    </row>
    <row r="21" ht="15.75" customHeight="1">
      <c r="A21" s="14" t="s">
        <v>74</v>
      </c>
      <c r="B21" s="27" t="s">
        <v>105</v>
      </c>
      <c r="C21" s="16" t="s">
        <v>66</v>
      </c>
      <c r="D21" s="17">
        <v>10.0</v>
      </c>
      <c r="E21" s="17">
        <v>42.0</v>
      </c>
      <c r="F21" s="17">
        <v>102.0</v>
      </c>
      <c r="G21" s="17">
        <v>255.0</v>
      </c>
      <c r="H21" s="17">
        <v>255.0</v>
      </c>
      <c r="I21" s="17">
        <v>255.0</v>
      </c>
      <c r="J21" s="19">
        <f t="shared" si="24"/>
        <v>0.02331529079</v>
      </c>
      <c r="K21" s="19">
        <f t="shared" si="25"/>
        <v>1</v>
      </c>
      <c r="L21" s="19">
        <f t="shared" si="26"/>
        <v>1</v>
      </c>
      <c r="M21" s="19">
        <f t="shared" si="27"/>
        <v>0.02331529079</v>
      </c>
      <c r="N21" s="19">
        <f t="shared" ref="N21:O21" si="35">L21+0.05</f>
        <v>1.05</v>
      </c>
      <c r="O21" s="19">
        <f t="shared" si="35"/>
        <v>0.07331529079</v>
      </c>
      <c r="P21" s="19">
        <f t="shared" si="29"/>
        <v>14.32170545</v>
      </c>
      <c r="Q21" s="23" t="s">
        <v>106</v>
      </c>
      <c r="R21" s="19" t="str">
        <f t="shared" si="34"/>
        <v>Medium</v>
      </c>
      <c r="S21" s="22">
        <f t="shared" si="30"/>
        <v>0</v>
      </c>
      <c r="T21" s="21">
        <f t="shared" si="31"/>
        <v>1</v>
      </c>
      <c r="U21" s="22">
        <f t="shared" si="32"/>
        <v>0</v>
      </c>
    </row>
    <row r="22" ht="15.75" customHeight="1">
      <c r="A22" s="14" t="s">
        <v>77</v>
      </c>
      <c r="B22" s="27" t="s">
        <v>107</v>
      </c>
      <c r="C22" s="16" t="s">
        <v>66</v>
      </c>
      <c r="D22" s="17">
        <v>10.0</v>
      </c>
      <c r="E22" s="17">
        <v>102.0</v>
      </c>
      <c r="F22" s="17">
        <v>194.0</v>
      </c>
      <c r="G22" s="17">
        <v>255.0</v>
      </c>
      <c r="H22" s="17">
        <v>255.0</v>
      </c>
      <c r="I22" s="17">
        <v>255.0</v>
      </c>
      <c r="J22" s="19">
        <f t="shared" si="24"/>
        <v>0.1350069299</v>
      </c>
      <c r="K22" s="19">
        <f t="shared" si="25"/>
        <v>1</v>
      </c>
      <c r="L22" s="19">
        <f t="shared" si="26"/>
        <v>1</v>
      </c>
      <c r="M22" s="19">
        <f t="shared" si="27"/>
        <v>0.1350069299</v>
      </c>
      <c r="N22" s="19">
        <f t="shared" ref="N22:O22" si="36">L22+0.05</f>
        <v>1.05</v>
      </c>
      <c r="O22" s="19">
        <f t="shared" si="36"/>
        <v>0.1850069299</v>
      </c>
      <c r="P22" s="19">
        <f t="shared" si="29"/>
        <v>5.675463079</v>
      </c>
      <c r="Q22" s="23" t="s">
        <v>108</v>
      </c>
      <c r="R22" s="19" t="str">
        <f t="shared" si="34"/>
        <v>Medium</v>
      </c>
      <c r="S22" s="22">
        <f t="shared" si="30"/>
        <v>0</v>
      </c>
      <c r="T22" s="21">
        <f t="shared" si="31"/>
        <v>1</v>
      </c>
      <c r="U22" s="22">
        <f t="shared" si="32"/>
        <v>0</v>
      </c>
    </row>
    <row r="23" ht="15.75" customHeight="1">
      <c r="A23" s="14" t="s">
        <v>80</v>
      </c>
      <c r="B23" s="27" t="s">
        <v>109</v>
      </c>
      <c r="C23" s="16" t="s">
        <v>66</v>
      </c>
      <c r="D23" s="17">
        <v>28.0</v>
      </c>
      <c r="E23" s="17">
        <v>28.0</v>
      </c>
      <c r="F23" s="17">
        <v>26.0</v>
      </c>
      <c r="G23" s="17">
        <v>255.0</v>
      </c>
      <c r="H23" s="17">
        <v>255.0</v>
      </c>
      <c r="I23" s="17">
        <v>255.0</v>
      </c>
      <c r="J23" s="19">
        <f t="shared" si="24"/>
        <v>0.007666837143</v>
      </c>
      <c r="K23" s="19">
        <f t="shared" si="25"/>
        <v>1</v>
      </c>
      <c r="L23" s="19">
        <f t="shared" si="26"/>
        <v>1</v>
      </c>
      <c r="M23" s="19">
        <f t="shared" si="27"/>
        <v>0.007666837143</v>
      </c>
      <c r="N23" s="19">
        <f t="shared" ref="N23:O23" si="37">L23+0.05</f>
        <v>1.05</v>
      </c>
      <c r="O23" s="19">
        <f t="shared" si="37"/>
        <v>0.05766683714</v>
      </c>
      <c r="P23" s="19">
        <f t="shared" si="29"/>
        <v>18.20803866</v>
      </c>
      <c r="Q23" s="23" t="s">
        <v>110</v>
      </c>
      <c r="R23" s="19" t="str">
        <f t="shared" si="34"/>
        <v>Medium</v>
      </c>
      <c r="S23" s="21">
        <f t="shared" si="30"/>
        <v>0</v>
      </c>
      <c r="T23" s="22">
        <f t="shared" si="31"/>
        <v>1</v>
      </c>
      <c r="U23" s="22">
        <f t="shared" si="32"/>
        <v>0</v>
      </c>
    </row>
    <row r="24" ht="15.75" customHeight="1">
      <c r="A24" s="14" t="s">
        <v>83</v>
      </c>
      <c r="B24" s="27" t="s">
        <v>111</v>
      </c>
      <c r="C24" s="16" t="s">
        <v>66</v>
      </c>
      <c r="D24" s="17">
        <v>71.0</v>
      </c>
      <c r="E24" s="17">
        <v>81.0</v>
      </c>
      <c r="F24" s="17">
        <v>89.0</v>
      </c>
      <c r="G24" s="17">
        <v>255.0</v>
      </c>
      <c r="H24" s="17">
        <v>255.0</v>
      </c>
      <c r="I24" s="17">
        <v>255.0</v>
      </c>
      <c r="J24" s="19">
        <f t="shared" si="24"/>
        <v>0.07726089359</v>
      </c>
      <c r="K24" s="19">
        <f t="shared" si="25"/>
        <v>1</v>
      </c>
      <c r="L24" s="19">
        <f t="shared" si="26"/>
        <v>1</v>
      </c>
      <c r="M24" s="19">
        <f t="shared" si="27"/>
        <v>0.07726089359</v>
      </c>
      <c r="N24" s="19">
        <f t="shared" ref="N24:O24" si="38">L24+0.05</f>
        <v>1.05</v>
      </c>
      <c r="O24" s="19">
        <f t="shared" si="38"/>
        <v>0.1272608936</v>
      </c>
      <c r="P24" s="19">
        <f t="shared" si="29"/>
        <v>8.250767148</v>
      </c>
      <c r="Q24" s="23" t="s">
        <v>112</v>
      </c>
      <c r="R24" s="19" t="str">
        <f t="shared" si="34"/>
        <v>Medium</v>
      </c>
      <c r="S24" s="22">
        <f t="shared" si="30"/>
        <v>0</v>
      </c>
      <c r="T24" s="21">
        <f t="shared" si="31"/>
        <v>1</v>
      </c>
      <c r="U24" s="22">
        <f t="shared" si="32"/>
        <v>0</v>
      </c>
    </row>
    <row r="25" ht="15.75" customHeight="1">
      <c r="A25" s="14" t="s">
        <v>86</v>
      </c>
      <c r="B25" s="27" t="s">
        <v>113</v>
      </c>
      <c r="C25" s="16" t="s">
        <v>66</v>
      </c>
      <c r="D25" s="17">
        <v>9.0</v>
      </c>
      <c r="E25" s="17">
        <v>180.0</v>
      </c>
      <c r="F25" s="17">
        <v>227.0</v>
      </c>
      <c r="G25" s="17">
        <v>255.0</v>
      </c>
      <c r="H25" s="17">
        <v>255.0</v>
      </c>
      <c r="I25" s="17">
        <v>255.0</v>
      </c>
      <c r="J25" s="19">
        <f t="shared" si="24"/>
        <v>0.3884177495</v>
      </c>
      <c r="K25" s="19">
        <f t="shared" si="25"/>
        <v>1</v>
      </c>
      <c r="L25" s="19">
        <f t="shared" si="26"/>
        <v>1</v>
      </c>
      <c r="M25" s="19">
        <f t="shared" si="27"/>
        <v>0.3884177495</v>
      </c>
      <c r="N25" s="19">
        <f t="shared" ref="N25:O25" si="39">L25+0.05</f>
        <v>1.05</v>
      </c>
      <c r="O25" s="19">
        <f t="shared" si="39"/>
        <v>0.4384177495</v>
      </c>
      <c r="P25" s="19">
        <f t="shared" si="29"/>
        <v>2.394976027</v>
      </c>
      <c r="Q25" s="23" t="s">
        <v>114</v>
      </c>
      <c r="R25" s="19" t="str">
        <f t="shared" si="34"/>
        <v>Low</v>
      </c>
      <c r="S25" s="21">
        <f t="shared" si="30"/>
        <v>1</v>
      </c>
      <c r="T25" s="22">
        <f t="shared" si="31"/>
        <v>0</v>
      </c>
      <c r="U25" s="22">
        <f t="shared" si="32"/>
        <v>0</v>
      </c>
    </row>
    <row r="26" ht="15.75" customHeight="1">
      <c r="A26" s="14" t="s">
        <v>89</v>
      </c>
      <c r="B26" s="27" t="s">
        <v>115</v>
      </c>
      <c r="C26" s="16" t="s">
        <v>66</v>
      </c>
      <c r="D26" s="17">
        <v>0.0</v>
      </c>
      <c r="E26" s="17">
        <v>55.0</v>
      </c>
      <c r="F26" s="18">
        <v>79.0</v>
      </c>
      <c r="G26" s="17">
        <v>255.0</v>
      </c>
      <c r="H26" s="17">
        <v>255.0</v>
      </c>
      <c r="I26" s="17">
        <v>255.0</v>
      </c>
      <c r="J26" s="19">
        <f t="shared" si="24"/>
        <v>0.02996330956</v>
      </c>
      <c r="K26" s="19">
        <f t="shared" si="25"/>
        <v>1</v>
      </c>
      <c r="L26" s="19">
        <f t="shared" si="26"/>
        <v>1</v>
      </c>
      <c r="M26" s="19">
        <f t="shared" si="27"/>
        <v>0.02996330956</v>
      </c>
      <c r="N26" s="19">
        <f t="shared" ref="N26:O26" si="40">L26+0.05</f>
        <v>1.05</v>
      </c>
      <c r="O26" s="19">
        <f t="shared" si="40"/>
        <v>0.07996330956</v>
      </c>
      <c r="P26" s="19">
        <f t="shared" si="29"/>
        <v>13.13102229</v>
      </c>
      <c r="Q26" s="23" t="s">
        <v>116</v>
      </c>
      <c r="R26" s="19" t="str">
        <f t="shared" si="34"/>
        <v>Medium</v>
      </c>
      <c r="S26" s="22">
        <f t="shared" si="30"/>
        <v>0</v>
      </c>
      <c r="T26" s="21">
        <f t="shared" si="31"/>
        <v>1</v>
      </c>
      <c r="U26" s="22">
        <f t="shared" si="32"/>
        <v>0</v>
      </c>
    </row>
    <row r="27" ht="15.75" customHeight="1">
      <c r="A27" s="14" t="s">
        <v>92</v>
      </c>
      <c r="B27" s="27" t="s">
        <v>117</v>
      </c>
      <c r="C27" s="16" t="s">
        <v>66</v>
      </c>
      <c r="D27" s="17">
        <v>34.0</v>
      </c>
      <c r="E27" s="17">
        <v>36.0</v>
      </c>
      <c r="F27" s="17">
        <v>179.0</v>
      </c>
      <c r="G27" s="17">
        <v>255.0</v>
      </c>
      <c r="H27" s="17">
        <v>255.0</v>
      </c>
      <c r="I27" s="17">
        <v>255.0</v>
      </c>
      <c r="J27" s="19">
        <f t="shared" si="24"/>
        <v>0.04530771343</v>
      </c>
      <c r="K27" s="19">
        <f t="shared" si="25"/>
        <v>1</v>
      </c>
      <c r="L27" s="19">
        <f t="shared" si="26"/>
        <v>1</v>
      </c>
      <c r="M27" s="19">
        <f t="shared" si="27"/>
        <v>0.04530771343</v>
      </c>
      <c r="N27" s="19">
        <f t="shared" ref="N27:O27" si="41">L27+0.05</f>
        <v>1.05</v>
      </c>
      <c r="O27" s="19">
        <f t="shared" si="41"/>
        <v>0.09530771343</v>
      </c>
      <c r="P27" s="19">
        <f t="shared" si="29"/>
        <v>11.01694671</v>
      </c>
      <c r="Q27" s="23" t="s">
        <v>118</v>
      </c>
      <c r="R27" s="19" t="str">
        <f t="shared" si="34"/>
        <v>Medium</v>
      </c>
      <c r="S27" s="22">
        <f t="shared" si="30"/>
        <v>0</v>
      </c>
      <c r="T27" s="21">
        <f t="shared" si="31"/>
        <v>1</v>
      </c>
      <c r="U27" s="22">
        <f t="shared" si="32"/>
        <v>0</v>
      </c>
    </row>
    <row r="28" ht="15.75" customHeight="1">
      <c r="S28" s="7"/>
      <c r="T28" s="7"/>
      <c r="U28" s="7"/>
    </row>
    <row r="29" ht="36.0" customHeight="1">
      <c r="A29" s="25" t="s">
        <v>119</v>
      </c>
      <c r="S29" s="7"/>
      <c r="T29" s="7"/>
      <c r="U29" s="7"/>
    </row>
    <row r="30" ht="15.75" customHeight="1">
      <c r="A30" s="9" t="s">
        <v>43</v>
      </c>
      <c r="B30" s="9" t="s">
        <v>44</v>
      </c>
      <c r="C30" s="9" t="s">
        <v>45</v>
      </c>
      <c r="D30" s="10" t="s">
        <v>46</v>
      </c>
      <c r="E30" s="10" t="s">
        <v>47</v>
      </c>
      <c r="F30" s="10" t="s">
        <v>48</v>
      </c>
      <c r="G30" s="9" t="s">
        <v>49</v>
      </c>
      <c r="H30" s="9" t="s">
        <v>50</v>
      </c>
      <c r="I30" s="9" t="s">
        <v>51</v>
      </c>
      <c r="J30" s="9" t="s">
        <v>52</v>
      </c>
      <c r="K30" s="9" t="s">
        <v>53</v>
      </c>
      <c r="L30" s="11" t="s">
        <v>54</v>
      </c>
      <c r="M30" s="11" t="s">
        <v>55</v>
      </c>
      <c r="N30" s="9" t="s">
        <v>56</v>
      </c>
      <c r="O30" s="9" t="s">
        <v>57</v>
      </c>
      <c r="P30" s="9" t="s">
        <v>58</v>
      </c>
      <c r="Q30" s="9" t="s">
        <v>59</v>
      </c>
      <c r="R30" s="9" t="s">
        <v>60</v>
      </c>
      <c r="S30" s="13" t="s">
        <v>120</v>
      </c>
      <c r="T30" s="13" t="s">
        <v>121</v>
      </c>
      <c r="U30" s="13" t="s">
        <v>122</v>
      </c>
    </row>
    <row r="31" ht="15.75" customHeight="1">
      <c r="A31" s="14" t="s">
        <v>64</v>
      </c>
      <c r="B31" s="27" t="s">
        <v>123</v>
      </c>
      <c r="C31" s="16" t="s">
        <v>66</v>
      </c>
      <c r="D31" s="17">
        <v>178.0</v>
      </c>
      <c r="E31" s="17">
        <v>171.0</v>
      </c>
      <c r="F31" s="17">
        <v>232.0</v>
      </c>
      <c r="G31" s="17">
        <v>255.0</v>
      </c>
      <c r="H31" s="17">
        <v>255.0</v>
      </c>
      <c r="I31" s="17">
        <v>255.0</v>
      </c>
      <c r="J31" s="28">
        <f t="shared" ref="J31:J40" si="43">(0.2126*(D31/255)^2.2) + (0.7152*(E31/255)^2.2) + (0.0722*(F31/255)^2.2)</f>
        <v>0.4519625974</v>
      </c>
      <c r="K31" s="19">
        <f t="shared" ref="K31:K40" si="44">(0.2126*(G31/255)^2.2) + (0.7152*(H31/255)^2.2) + (0.0722*(I31/255)^2.2)</f>
        <v>1</v>
      </c>
      <c r="L31" s="19">
        <f t="shared" ref="L31:L40" si="45">MAX(J31,K31)</f>
        <v>1</v>
      </c>
      <c r="M31" s="19">
        <f t="shared" ref="M31:M40" si="46">MIN(J31,K31)</f>
        <v>0.4519625974</v>
      </c>
      <c r="N31" s="19">
        <f t="shared" ref="N31:O31" si="42">L31+0.05</f>
        <v>1.05</v>
      </c>
      <c r="O31" s="19">
        <f t="shared" si="42"/>
        <v>0.5019625974</v>
      </c>
      <c r="P31" s="19">
        <f t="shared" ref="P31:P40" si="48">N31*(1/O31)</f>
        <v>2.091789319</v>
      </c>
      <c r="Q31" s="20" t="s">
        <v>124</v>
      </c>
      <c r="R31" s="19" t="str">
        <f t="shared" ref="R31:R33" si="49">IF(P31&lt;3,"Low",IF(P31&lt;7,"Medium","High"))</f>
        <v>Low</v>
      </c>
      <c r="S31" s="21">
        <f t="shared" ref="S31:S40" si="50">IF(R31="Low",1,0)</f>
        <v>1</v>
      </c>
      <c r="T31" s="22">
        <f t="shared" ref="T31:T40" si="51">IF(R31="Medium",1,0)</f>
        <v>0</v>
      </c>
      <c r="U31" s="22">
        <f t="shared" ref="U31:U40" si="52">IF(R31="High",1,0)</f>
        <v>0</v>
      </c>
    </row>
    <row r="32" ht="15.75" customHeight="1">
      <c r="A32" s="14" t="s">
        <v>68</v>
      </c>
      <c r="B32" s="27" t="s">
        <v>125</v>
      </c>
      <c r="C32" s="16" t="s">
        <v>66</v>
      </c>
      <c r="D32" s="17">
        <v>0.0</v>
      </c>
      <c r="E32" s="17">
        <v>38.0</v>
      </c>
      <c r="F32" s="17">
        <v>43.0</v>
      </c>
      <c r="G32" s="17">
        <v>255.0</v>
      </c>
      <c r="H32" s="17">
        <v>255.0</v>
      </c>
      <c r="I32" s="17">
        <v>255.0</v>
      </c>
      <c r="J32" s="28">
        <f t="shared" si="43"/>
        <v>0.01229139827</v>
      </c>
      <c r="K32" s="19">
        <f t="shared" si="44"/>
        <v>1</v>
      </c>
      <c r="L32" s="19">
        <f t="shared" si="45"/>
        <v>1</v>
      </c>
      <c r="M32" s="19">
        <f t="shared" si="46"/>
        <v>0.01229139827</v>
      </c>
      <c r="N32" s="19">
        <f t="shared" ref="N32:O32" si="47">L32+0.05</f>
        <v>1.05</v>
      </c>
      <c r="O32" s="19">
        <f t="shared" si="47"/>
        <v>0.06229139827</v>
      </c>
      <c r="P32" s="19">
        <f t="shared" si="48"/>
        <v>16.85625992</v>
      </c>
      <c r="Q32" s="23" t="s">
        <v>110</v>
      </c>
      <c r="R32" s="19" t="str">
        <f t="shared" si="49"/>
        <v>High</v>
      </c>
      <c r="S32" s="21">
        <f t="shared" si="50"/>
        <v>0</v>
      </c>
      <c r="T32" s="22">
        <f t="shared" si="51"/>
        <v>0</v>
      </c>
      <c r="U32" s="22">
        <f t="shared" si="52"/>
        <v>1</v>
      </c>
    </row>
    <row r="33" ht="15.75" customHeight="1">
      <c r="A33" s="14" t="s">
        <v>71</v>
      </c>
      <c r="B33" s="27" t="s">
        <v>126</v>
      </c>
      <c r="C33" s="16" t="s">
        <v>66</v>
      </c>
      <c r="D33" s="17">
        <v>43.0</v>
      </c>
      <c r="E33" s="17">
        <v>44.0</v>
      </c>
      <c r="F33" s="17">
        <v>64.0</v>
      </c>
      <c r="G33" s="17">
        <v>255.0</v>
      </c>
      <c r="H33" s="17">
        <v>255.0</v>
      </c>
      <c r="I33" s="17">
        <v>255.0</v>
      </c>
      <c r="J33" s="28">
        <f t="shared" si="43"/>
        <v>0.0226681914</v>
      </c>
      <c r="K33" s="19">
        <f t="shared" si="44"/>
        <v>1</v>
      </c>
      <c r="L33" s="19">
        <f t="shared" si="45"/>
        <v>1</v>
      </c>
      <c r="M33" s="19">
        <f t="shared" si="46"/>
        <v>0.0226681914</v>
      </c>
      <c r="N33" s="19">
        <f t="shared" ref="N33:O33" si="53">L33+0.05</f>
        <v>1.05</v>
      </c>
      <c r="O33" s="19">
        <f t="shared" si="53"/>
        <v>0.0726681914</v>
      </c>
      <c r="P33" s="19">
        <f t="shared" si="48"/>
        <v>14.4492381</v>
      </c>
      <c r="Q33" s="23" t="s">
        <v>127</v>
      </c>
      <c r="R33" s="19" t="str">
        <f t="shared" si="49"/>
        <v>High</v>
      </c>
      <c r="S33" s="22">
        <f t="shared" si="50"/>
        <v>0</v>
      </c>
      <c r="T33" s="21">
        <f t="shared" si="51"/>
        <v>0</v>
      </c>
      <c r="U33" s="22">
        <f t="shared" si="52"/>
        <v>1</v>
      </c>
    </row>
    <row r="34" ht="15.75" customHeight="1">
      <c r="A34" s="14" t="s">
        <v>74</v>
      </c>
      <c r="B34" s="27" t="s">
        <v>75</v>
      </c>
      <c r="C34" s="16" t="s">
        <v>66</v>
      </c>
      <c r="D34" s="17">
        <v>24.0</v>
      </c>
      <c r="E34" s="17">
        <v>101.0</v>
      </c>
      <c r="F34" s="17">
        <v>242.0</v>
      </c>
      <c r="G34" s="17">
        <v>255.0</v>
      </c>
      <c r="H34" s="17">
        <v>255.0</v>
      </c>
      <c r="I34" s="17">
        <v>255.0</v>
      </c>
      <c r="J34" s="28">
        <f t="shared" si="43"/>
        <v>0.1587509913</v>
      </c>
      <c r="K34" s="19">
        <f t="shared" si="44"/>
        <v>1</v>
      </c>
      <c r="L34" s="19">
        <f t="shared" si="45"/>
        <v>1</v>
      </c>
      <c r="M34" s="19">
        <f t="shared" si="46"/>
        <v>0.1587509913</v>
      </c>
      <c r="N34" s="19">
        <f t="shared" ref="N34:O34" si="54">L34+0.05</f>
        <v>1.05</v>
      </c>
      <c r="O34" s="19">
        <f t="shared" si="54"/>
        <v>0.2087509913</v>
      </c>
      <c r="P34" s="19">
        <f t="shared" si="48"/>
        <v>5.029916234</v>
      </c>
      <c r="Q34" s="20" t="s">
        <v>128</v>
      </c>
      <c r="R34" s="19" t="str">
        <f t="shared" ref="R34:R35" si="56">IF(P34&lt;3,"Low",IF(O34&lt;7,"Medium","High"))</f>
        <v>Medium</v>
      </c>
      <c r="S34" s="22">
        <f t="shared" si="50"/>
        <v>0</v>
      </c>
      <c r="T34" s="21">
        <f t="shared" si="51"/>
        <v>1</v>
      </c>
      <c r="U34" s="22">
        <f t="shared" si="52"/>
        <v>0</v>
      </c>
    </row>
    <row r="35" ht="15.75" customHeight="1">
      <c r="A35" s="14" t="s">
        <v>77</v>
      </c>
      <c r="B35" s="27" t="s">
        <v>129</v>
      </c>
      <c r="C35" s="29" t="s">
        <v>130</v>
      </c>
      <c r="D35" s="17">
        <v>59.0</v>
      </c>
      <c r="E35" s="17">
        <v>60.0</v>
      </c>
      <c r="F35" s="17">
        <v>61.0</v>
      </c>
      <c r="G35" s="17">
        <v>237.0</v>
      </c>
      <c r="H35" s="17">
        <v>243.0</v>
      </c>
      <c r="I35" s="17">
        <v>247.0</v>
      </c>
      <c r="J35" s="28">
        <f t="shared" si="43"/>
        <v>0.04124282357</v>
      </c>
      <c r="K35" s="19">
        <f t="shared" si="44"/>
        <v>0.8915262921</v>
      </c>
      <c r="L35" s="19">
        <f t="shared" si="45"/>
        <v>0.8915262921</v>
      </c>
      <c r="M35" s="19">
        <f t="shared" si="46"/>
        <v>0.04124282357</v>
      </c>
      <c r="N35" s="19">
        <f t="shared" ref="N35:O35" si="55">L35+0.05</f>
        <v>0.9415262921</v>
      </c>
      <c r="O35" s="19">
        <f t="shared" si="55"/>
        <v>0.09124282357</v>
      </c>
      <c r="P35" s="19">
        <f t="shared" si="48"/>
        <v>10.31890789</v>
      </c>
      <c r="Q35" s="23" t="s">
        <v>131</v>
      </c>
      <c r="R35" s="19" t="str">
        <f t="shared" si="56"/>
        <v>Medium</v>
      </c>
      <c r="S35" s="22">
        <f t="shared" si="50"/>
        <v>0</v>
      </c>
      <c r="T35" s="21">
        <f t="shared" si="51"/>
        <v>1</v>
      </c>
      <c r="U35" s="22">
        <f t="shared" si="52"/>
        <v>0</v>
      </c>
    </row>
    <row r="36" ht="15.75" customHeight="1">
      <c r="A36" s="14" t="s">
        <v>80</v>
      </c>
      <c r="B36" s="27" t="s">
        <v>81</v>
      </c>
      <c r="C36" s="16" t="s">
        <v>66</v>
      </c>
      <c r="D36" s="17">
        <v>222.0</v>
      </c>
      <c r="E36" s="17">
        <v>0.0</v>
      </c>
      <c r="F36" s="17">
        <v>166.0</v>
      </c>
      <c r="G36" s="17">
        <v>255.0</v>
      </c>
      <c r="H36" s="17">
        <v>255.0</v>
      </c>
      <c r="I36" s="17">
        <v>255.0</v>
      </c>
      <c r="J36" s="28">
        <f t="shared" si="43"/>
        <v>0.1848090583</v>
      </c>
      <c r="K36" s="19">
        <f t="shared" si="44"/>
        <v>1</v>
      </c>
      <c r="L36" s="19">
        <f t="shared" si="45"/>
        <v>1</v>
      </c>
      <c r="M36" s="19">
        <f t="shared" si="46"/>
        <v>0.1848090583</v>
      </c>
      <c r="N36" s="19">
        <f t="shared" ref="N36:O36" si="57">L36+0.05</f>
        <v>1.05</v>
      </c>
      <c r="O36" s="19">
        <f t="shared" si="57"/>
        <v>0.2348090583</v>
      </c>
      <c r="P36" s="19">
        <f t="shared" si="48"/>
        <v>4.471718457</v>
      </c>
      <c r="Q36" s="23" t="s">
        <v>132</v>
      </c>
      <c r="R36" s="19" t="str">
        <f t="shared" ref="R36:R38" si="59">IF(P36&lt;3,"Low",IF(P36&lt;7,"Medium","High"))</f>
        <v>Medium</v>
      </c>
      <c r="S36" s="21">
        <f t="shared" si="50"/>
        <v>0</v>
      </c>
      <c r="T36" s="30">
        <f t="shared" si="51"/>
        <v>1</v>
      </c>
      <c r="U36" s="22">
        <f t="shared" si="52"/>
        <v>0</v>
      </c>
    </row>
    <row r="37" ht="15.75" customHeight="1">
      <c r="A37" s="14" t="s">
        <v>83</v>
      </c>
      <c r="B37" s="27" t="s">
        <v>133</v>
      </c>
      <c r="C37" s="16" t="s">
        <v>66</v>
      </c>
      <c r="D37" s="17">
        <v>85.0</v>
      </c>
      <c r="E37" s="17">
        <v>95.0</v>
      </c>
      <c r="F37" s="17">
        <v>102.0</v>
      </c>
      <c r="G37" s="17">
        <v>255.0</v>
      </c>
      <c r="H37" s="17">
        <v>255.0</v>
      </c>
      <c r="I37" s="17">
        <v>255.0</v>
      </c>
      <c r="J37" s="28">
        <f t="shared" si="43"/>
        <v>0.1100564458</v>
      </c>
      <c r="K37" s="19">
        <f t="shared" si="44"/>
        <v>1</v>
      </c>
      <c r="L37" s="19">
        <f t="shared" si="45"/>
        <v>1</v>
      </c>
      <c r="M37" s="19">
        <f t="shared" si="46"/>
        <v>0.1100564458</v>
      </c>
      <c r="N37" s="19">
        <f t="shared" ref="N37:O37" si="58">L37+0.05</f>
        <v>1.05</v>
      </c>
      <c r="O37" s="19">
        <f t="shared" si="58"/>
        <v>0.1600564458</v>
      </c>
      <c r="P37" s="19">
        <f t="shared" si="48"/>
        <v>6.560185657</v>
      </c>
      <c r="Q37" s="20" t="s">
        <v>134</v>
      </c>
      <c r="R37" s="19" t="str">
        <f t="shared" si="59"/>
        <v>Medium</v>
      </c>
      <c r="S37" s="21">
        <f t="shared" si="50"/>
        <v>0</v>
      </c>
      <c r="T37" s="22">
        <f t="shared" si="51"/>
        <v>1</v>
      </c>
      <c r="U37" s="22">
        <f t="shared" si="52"/>
        <v>0</v>
      </c>
    </row>
    <row r="38" ht="15.75" customHeight="1">
      <c r="A38" s="14" t="s">
        <v>86</v>
      </c>
      <c r="B38" s="27" t="s">
        <v>135</v>
      </c>
      <c r="C38" s="16" t="s">
        <v>66</v>
      </c>
      <c r="D38" s="17">
        <v>108.0</v>
      </c>
      <c r="E38" s="17">
        <v>143.0</v>
      </c>
      <c r="F38" s="17">
        <v>189.0</v>
      </c>
      <c r="G38" s="17">
        <v>255.0</v>
      </c>
      <c r="H38" s="17">
        <v>255.0</v>
      </c>
      <c r="I38" s="17">
        <v>255.0</v>
      </c>
      <c r="J38" s="28">
        <f t="shared" si="43"/>
        <v>0.2698162655</v>
      </c>
      <c r="K38" s="19">
        <f t="shared" si="44"/>
        <v>1</v>
      </c>
      <c r="L38" s="19">
        <f t="shared" si="45"/>
        <v>1</v>
      </c>
      <c r="M38" s="19">
        <f t="shared" si="46"/>
        <v>0.2698162655</v>
      </c>
      <c r="N38" s="19">
        <f t="shared" ref="N38:O38" si="60">L38+0.05</f>
        <v>1.05</v>
      </c>
      <c r="O38" s="19">
        <f t="shared" si="60"/>
        <v>0.3198162655</v>
      </c>
      <c r="P38" s="19">
        <f t="shared" si="48"/>
        <v>3.283135078</v>
      </c>
      <c r="Q38" s="23" t="s">
        <v>136</v>
      </c>
      <c r="R38" s="19" t="str">
        <f t="shared" si="59"/>
        <v>Medium</v>
      </c>
      <c r="S38" s="21">
        <f t="shared" si="50"/>
        <v>0</v>
      </c>
      <c r="T38" s="22">
        <f t="shared" si="51"/>
        <v>1</v>
      </c>
      <c r="U38" s="22">
        <f t="shared" si="52"/>
        <v>0</v>
      </c>
    </row>
    <row r="39" ht="15.75" customHeight="1">
      <c r="A39" s="14" t="s">
        <v>89</v>
      </c>
      <c r="B39" s="27" t="s">
        <v>137</v>
      </c>
      <c r="C39" s="16" t="s">
        <v>66</v>
      </c>
      <c r="D39" s="17">
        <v>117.0</v>
      </c>
      <c r="E39" s="17">
        <v>117.0</v>
      </c>
      <c r="F39" s="17">
        <v>117.0</v>
      </c>
      <c r="G39" s="17">
        <v>255.0</v>
      </c>
      <c r="H39" s="17">
        <v>255.0</v>
      </c>
      <c r="I39" s="17">
        <v>255.0</v>
      </c>
      <c r="J39" s="28">
        <f t="shared" si="43"/>
        <v>0.1801442892</v>
      </c>
      <c r="K39" s="19">
        <f t="shared" si="44"/>
        <v>1</v>
      </c>
      <c r="L39" s="19">
        <f t="shared" si="45"/>
        <v>1</v>
      </c>
      <c r="M39" s="19">
        <f t="shared" si="46"/>
        <v>0.1801442892</v>
      </c>
      <c r="N39" s="19">
        <f t="shared" ref="N39:O39" si="61">L39+0.05</f>
        <v>1.05</v>
      </c>
      <c r="O39" s="19">
        <f t="shared" si="61"/>
        <v>0.2301442892</v>
      </c>
      <c r="P39" s="19">
        <f t="shared" si="48"/>
        <v>4.562355224</v>
      </c>
      <c r="Q39" s="23" t="s">
        <v>138</v>
      </c>
      <c r="R39" s="19" t="str">
        <f t="shared" ref="R39:R40" si="63">IF(P39&lt;3,"Low",IF(O39&lt;7,"Medium","High"))</f>
        <v>Medium</v>
      </c>
      <c r="S39" s="21">
        <f t="shared" si="50"/>
        <v>0</v>
      </c>
      <c r="T39" s="22">
        <f t="shared" si="51"/>
        <v>1</v>
      </c>
      <c r="U39" s="22">
        <f t="shared" si="52"/>
        <v>0</v>
      </c>
    </row>
    <row r="40" ht="15.75" customHeight="1">
      <c r="A40" s="14" t="s">
        <v>92</v>
      </c>
      <c r="B40" s="27" t="s">
        <v>139</v>
      </c>
      <c r="C40" s="16" t="s">
        <v>66</v>
      </c>
      <c r="D40" s="17">
        <v>194.0</v>
      </c>
      <c r="E40" s="17">
        <v>194.0</v>
      </c>
      <c r="F40" s="17">
        <v>194.0</v>
      </c>
      <c r="G40" s="17">
        <v>255.0</v>
      </c>
      <c r="H40" s="17">
        <v>255.0</v>
      </c>
      <c r="I40" s="17">
        <v>255.0</v>
      </c>
      <c r="J40" s="28">
        <f t="shared" si="43"/>
        <v>0.5479935022</v>
      </c>
      <c r="K40" s="19">
        <f t="shared" si="44"/>
        <v>1</v>
      </c>
      <c r="L40" s="19">
        <f t="shared" si="45"/>
        <v>1</v>
      </c>
      <c r="M40" s="19">
        <f t="shared" si="46"/>
        <v>0.5479935022</v>
      </c>
      <c r="N40" s="19">
        <f t="shared" ref="N40:O40" si="62">L40+0.05</f>
        <v>1.05</v>
      </c>
      <c r="O40" s="19">
        <f t="shared" si="62"/>
        <v>0.5979935022</v>
      </c>
      <c r="P40" s="19">
        <f t="shared" si="48"/>
        <v>1.755871922</v>
      </c>
      <c r="Q40" s="20" t="s">
        <v>73</v>
      </c>
      <c r="R40" s="19" t="str">
        <f t="shared" si="63"/>
        <v>Low</v>
      </c>
      <c r="S40" s="21">
        <f t="shared" si="50"/>
        <v>1</v>
      </c>
      <c r="T40" s="22">
        <f t="shared" si="51"/>
        <v>0</v>
      </c>
      <c r="U40" s="22">
        <f t="shared" si="52"/>
        <v>0</v>
      </c>
    </row>
    <row r="41" ht="15.75" customHeight="1">
      <c r="O41" s="24"/>
      <c r="S41" s="7"/>
      <c r="T41" s="7"/>
      <c r="U41" s="7"/>
    </row>
    <row r="42" ht="34.5" customHeight="1">
      <c r="A42" s="25" t="s">
        <v>140</v>
      </c>
      <c r="O42" s="26"/>
      <c r="P42" s="26"/>
      <c r="Q42" s="26"/>
      <c r="S42" s="7"/>
      <c r="T42" s="7"/>
      <c r="U42" s="7"/>
    </row>
    <row r="43" ht="15.75" customHeight="1">
      <c r="A43" s="2" t="s">
        <v>43</v>
      </c>
      <c r="B43" s="9" t="s">
        <v>44</v>
      </c>
      <c r="C43" s="9" t="s">
        <v>45</v>
      </c>
      <c r="D43" s="10" t="s">
        <v>46</v>
      </c>
      <c r="E43" s="10" t="s">
        <v>47</v>
      </c>
      <c r="F43" s="10" t="s">
        <v>48</v>
      </c>
      <c r="G43" s="9" t="s">
        <v>49</v>
      </c>
      <c r="H43" s="9" t="s">
        <v>50</v>
      </c>
      <c r="I43" s="9" t="s">
        <v>51</v>
      </c>
      <c r="J43" s="9" t="s">
        <v>52</v>
      </c>
      <c r="K43" s="9" t="s">
        <v>53</v>
      </c>
      <c r="L43" s="11" t="s">
        <v>54</v>
      </c>
      <c r="M43" s="11" t="s">
        <v>55</v>
      </c>
      <c r="N43" s="9" t="s">
        <v>56</v>
      </c>
      <c r="O43" s="11" t="s">
        <v>57</v>
      </c>
      <c r="P43" s="11" t="s">
        <v>58</v>
      </c>
      <c r="Q43" s="11" t="s">
        <v>59</v>
      </c>
      <c r="R43" s="9" t="s">
        <v>60</v>
      </c>
      <c r="S43" s="13" t="s">
        <v>141</v>
      </c>
      <c r="T43" s="13" t="s">
        <v>142</v>
      </c>
      <c r="U43" s="13" t="s">
        <v>143</v>
      </c>
    </row>
    <row r="44" ht="15.75" customHeight="1">
      <c r="A44" s="14" t="s">
        <v>64</v>
      </c>
      <c r="B44" s="27" t="s">
        <v>144</v>
      </c>
      <c r="C44" s="16" t="s">
        <v>66</v>
      </c>
      <c r="D44" s="17">
        <v>233.0</v>
      </c>
      <c r="E44" s="17">
        <v>238.0</v>
      </c>
      <c r="F44" s="17">
        <v>247.0</v>
      </c>
      <c r="G44" s="17">
        <v>255.0</v>
      </c>
      <c r="H44" s="17">
        <v>255.0</v>
      </c>
      <c r="I44" s="17">
        <v>255.0</v>
      </c>
      <c r="J44" s="28">
        <f t="shared" ref="J44:J53" si="65">(0.2126*(D44/255)^2.2) + (0.7152*(E44/255)^2.2) + (0.0722*(F44/255)^2.2)</f>
        <v>0.8561156094</v>
      </c>
      <c r="K44" s="19">
        <f t="shared" ref="K44:K53" si="66">(0.2126*(G44/255)^2.2) + (0.7152*(H44/255)^2.2) + (0.0722*(I44/255)^2.2)</f>
        <v>1</v>
      </c>
      <c r="L44" s="19">
        <f t="shared" ref="L44:L53" si="67">MAX(J44,K44)</f>
        <v>1</v>
      </c>
      <c r="M44" s="19">
        <f t="shared" ref="M44:M53" si="68">MIN(J44,K44)</f>
        <v>0.8561156094</v>
      </c>
      <c r="N44" s="19">
        <f t="shared" ref="N44:O44" si="64">L44+0.05</f>
        <v>1.05</v>
      </c>
      <c r="O44" s="19">
        <f t="shared" si="64"/>
        <v>0.9061156094</v>
      </c>
      <c r="P44" s="19">
        <f t="shared" ref="P44:P53" si="70">N44*(1/O44)</f>
        <v>1.158792531</v>
      </c>
      <c r="Q44" s="20" t="s">
        <v>145</v>
      </c>
      <c r="R44" s="19" t="str">
        <f>IF(P44&lt;3,"Low",IF(P44&lt;7,"Medium","High"))</f>
        <v>Low</v>
      </c>
      <c r="S44" s="21">
        <f t="shared" ref="S44:S53" si="71">IF(R44="Low",1,0)</f>
        <v>1</v>
      </c>
      <c r="T44" s="30">
        <f t="shared" ref="T44:T53" si="72">IF(R44="Medium",1,0)</f>
        <v>0</v>
      </c>
      <c r="U44" s="30">
        <f t="shared" ref="U44:U53" si="73">IF(R44="High",1,0)</f>
        <v>0</v>
      </c>
    </row>
    <row r="45" ht="15.75" customHeight="1">
      <c r="A45" s="14" t="s">
        <v>68</v>
      </c>
      <c r="B45" s="27" t="s">
        <v>146</v>
      </c>
      <c r="C45" s="16" t="s">
        <v>66</v>
      </c>
      <c r="D45" s="17">
        <v>69.0</v>
      </c>
      <c r="E45" s="17">
        <v>69.0</v>
      </c>
      <c r="F45" s="17">
        <v>69.0</v>
      </c>
      <c r="G45" s="17">
        <v>255.0</v>
      </c>
      <c r="H45" s="17">
        <v>255.0</v>
      </c>
      <c r="I45" s="17">
        <v>255.0</v>
      </c>
      <c r="J45" s="28">
        <f t="shared" si="65"/>
        <v>0.05637409755</v>
      </c>
      <c r="K45" s="19">
        <f t="shared" si="66"/>
        <v>1</v>
      </c>
      <c r="L45" s="19">
        <f t="shared" si="67"/>
        <v>1</v>
      </c>
      <c r="M45" s="19">
        <f t="shared" si="68"/>
        <v>0.05637409755</v>
      </c>
      <c r="N45" s="19">
        <f t="shared" ref="N45:O45" si="69">L45+0.05</f>
        <v>1.05</v>
      </c>
      <c r="O45" s="19">
        <f t="shared" si="69"/>
        <v>0.1063740976</v>
      </c>
      <c r="P45" s="19">
        <f t="shared" si="70"/>
        <v>9.870824046</v>
      </c>
      <c r="Q45" s="23" t="s">
        <v>147</v>
      </c>
      <c r="R45" s="19" t="str">
        <f t="shared" ref="R45:R53" si="75">IF(P45&lt;3,"Low",IF(O45&lt;7,"Medium","High"))</f>
        <v>Medium</v>
      </c>
      <c r="S45" s="30">
        <f t="shared" si="71"/>
        <v>0</v>
      </c>
      <c r="T45" s="21">
        <f t="shared" si="72"/>
        <v>1</v>
      </c>
      <c r="U45" s="30">
        <f t="shared" si="73"/>
        <v>0</v>
      </c>
    </row>
    <row r="46" ht="15.75" customHeight="1">
      <c r="A46" s="14" t="s">
        <v>71</v>
      </c>
      <c r="B46" s="27" t="s">
        <v>148</v>
      </c>
      <c r="C46" s="16" t="s">
        <v>66</v>
      </c>
      <c r="D46" s="17">
        <v>144.0</v>
      </c>
      <c r="E46" s="17">
        <v>147.0</v>
      </c>
      <c r="F46" s="17">
        <v>171.0</v>
      </c>
      <c r="G46" s="17">
        <v>255.0</v>
      </c>
      <c r="H46" s="17">
        <v>255.0</v>
      </c>
      <c r="I46" s="17">
        <v>255.0</v>
      </c>
      <c r="J46" s="28">
        <f t="shared" si="65"/>
        <v>0.303329369</v>
      </c>
      <c r="K46" s="19">
        <f t="shared" si="66"/>
        <v>1</v>
      </c>
      <c r="L46" s="19">
        <f t="shared" si="67"/>
        <v>1</v>
      </c>
      <c r="M46" s="19">
        <f t="shared" si="68"/>
        <v>0.303329369</v>
      </c>
      <c r="N46" s="19">
        <f t="shared" ref="N46:O46" si="74">L46+0.05</f>
        <v>1.05</v>
      </c>
      <c r="O46" s="19">
        <f t="shared" si="74"/>
        <v>0.353329369</v>
      </c>
      <c r="P46" s="19">
        <f t="shared" si="70"/>
        <v>2.971731456</v>
      </c>
      <c r="Q46" s="23" t="s">
        <v>149</v>
      </c>
      <c r="R46" s="19" t="str">
        <f t="shared" si="75"/>
        <v>Low</v>
      </c>
      <c r="S46" s="21">
        <f t="shared" si="71"/>
        <v>1</v>
      </c>
      <c r="T46" s="30">
        <f t="shared" si="72"/>
        <v>0</v>
      </c>
      <c r="U46" s="30">
        <f t="shared" si="73"/>
        <v>0</v>
      </c>
    </row>
    <row r="47" ht="15.75" customHeight="1">
      <c r="A47" s="14" t="s">
        <v>74</v>
      </c>
      <c r="B47" s="27" t="s">
        <v>150</v>
      </c>
      <c r="C47" s="16" t="s">
        <v>66</v>
      </c>
      <c r="D47" s="17">
        <v>144.0</v>
      </c>
      <c r="E47" s="17">
        <v>146.0</v>
      </c>
      <c r="F47" s="17">
        <v>150.0</v>
      </c>
      <c r="G47" s="17">
        <v>255.0</v>
      </c>
      <c r="H47" s="17">
        <v>255.0</v>
      </c>
      <c r="I47" s="17">
        <v>255.0</v>
      </c>
      <c r="J47" s="28">
        <f t="shared" si="65"/>
        <v>0.2926499302</v>
      </c>
      <c r="K47" s="19">
        <f t="shared" si="66"/>
        <v>1</v>
      </c>
      <c r="L47" s="19">
        <f t="shared" si="67"/>
        <v>1</v>
      </c>
      <c r="M47" s="19">
        <f t="shared" si="68"/>
        <v>0.2926499302</v>
      </c>
      <c r="N47" s="19">
        <f t="shared" ref="N47:O47" si="76">L47+0.05</f>
        <v>1.05</v>
      </c>
      <c r="O47" s="19">
        <f t="shared" si="76"/>
        <v>0.3426499302</v>
      </c>
      <c r="P47" s="19">
        <f t="shared" si="70"/>
        <v>3.064352003</v>
      </c>
      <c r="Q47" s="23" t="s">
        <v>151</v>
      </c>
      <c r="R47" s="19" t="str">
        <f t="shared" si="75"/>
        <v>Medium</v>
      </c>
      <c r="S47" s="30">
        <f t="shared" si="71"/>
        <v>0</v>
      </c>
      <c r="T47" s="21">
        <f t="shared" si="72"/>
        <v>1</v>
      </c>
      <c r="U47" s="30">
        <f t="shared" si="73"/>
        <v>0</v>
      </c>
    </row>
    <row r="48" ht="15.75" customHeight="1">
      <c r="A48" s="14" t="s">
        <v>77</v>
      </c>
      <c r="B48" s="27" t="s">
        <v>130</v>
      </c>
      <c r="C48" s="16" t="s">
        <v>66</v>
      </c>
      <c r="D48" s="17">
        <v>237.0</v>
      </c>
      <c r="E48" s="17">
        <v>243.0</v>
      </c>
      <c r="F48" s="17">
        <v>247.0</v>
      </c>
      <c r="G48" s="17">
        <v>255.0</v>
      </c>
      <c r="H48" s="17">
        <v>255.0</v>
      </c>
      <c r="I48" s="17">
        <v>255.0</v>
      </c>
      <c r="J48" s="28">
        <f t="shared" si="65"/>
        <v>0.8915262921</v>
      </c>
      <c r="K48" s="19">
        <f t="shared" si="66"/>
        <v>1</v>
      </c>
      <c r="L48" s="19">
        <f t="shared" si="67"/>
        <v>1</v>
      </c>
      <c r="M48" s="19">
        <f t="shared" si="68"/>
        <v>0.8915262921</v>
      </c>
      <c r="N48" s="19">
        <f t="shared" ref="N48:O48" si="77">L48+0.05</f>
        <v>1.05</v>
      </c>
      <c r="O48" s="19">
        <f t="shared" si="77"/>
        <v>0.9415262921</v>
      </c>
      <c r="P48" s="19">
        <f t="shared" si="70"/>
        <v>1.115210493</v>
      </c>
      <c r="Q48" s="23" t="s">
        <v>152</v>
      </c>
      <c r="R48" s="19" t="str">
        <f t="shared" si="75"/>
        <v>Low</v>
      </c>
      <c r="S48" s="30">
        <f t="shared" si="71"/>
        <v>1</v>
      </c>
      <c r="T48" s="21">
        <f t="shared" si="72"/>
        <v>0</v>
      </c>
      <c r="U48" s="30">
        <f t="shared" si="73"/>
        <v>0</v>
      </c>
    </row>
    <row r="49" ht="15.75" customHeight="1">
      <c r="A49" s="14" t="s">
        <v>80</v>
      </c>
      <c r="B49" s="27" t="s">
        <v>153</v>
      </c>
      <c r="C49" s="16" t="s">
        <v>66</v>
      </c>
      <c r="D49" s="17">
        <v>202.0</v>
      </c>
      <c r="E49" s="17">
        <v>202.0</v>
      </c>
      <c r="F49" s="17">
        <v>204.0</v>
      </c>
      <c r="G49" s="17">
        <v>255.0</v>
      </c>
      <c r="H49" s="17">
        <v>255.0</v>
      </c>
      <c r="I49" s="17">
        <v>255.0</v>
      </c>
      <c r="J49" s="28">
        <f t="shared" si="65"/>
        <v>0.5998893286</v>
      </c>
      <c r="K49" s="19">
        <f t="shared" si="66"/>
        <v>1</v>
      </c>
      <c r="L49" s="19">
        <f t="shared" si="67"/>
        <v>1</v>
      </c>
      <c r="M49" s="19">
        <f t="shared" si="68"/>
        <v>0.5998893286</v>
      </c>
      <c r="N49" s="19">
        <f t="shared" ref="N49:O49" si="78">L49+0.05</f>
        <v>1.05</v>
      </c>
      <c r="O49" s="19">
        <f t="shared" si="78"/>
        <v>0.6498893286</v>
      </c>
      <c r="P49" s="19">
        <f t="shared" si="70"/>
        <v>1.615659704</v>
      </c>
      <c r="Q49" s="23" t="s">
        <v>147</v>
      </c>
      <c r="R49" s="19" t="str">
        <f t="shared" si="75"/>
        <v>Low</v>
      </c>
      <c r="S49" s="21">
        <f t="shared" si="71"/>
        <v>1</v>
      </c>
      <c r="T49" s="30">
        <f t="shared" si="72"/>
        <v>0</v>
      </c>
      <c r="U49" s="30">
        <f t="shared" si="73"/>
        <v>0</v>
      </c>
    </row>
    <row r="50" ht="15.75" customHeight="1">
      <c r="A50" s="14" t="s">
        <v>83</v>
      </c>
      <c r="B50" s="27" t="s">
        <v>154</v>
      </c>
      <c r="C50" s="16" t="s">
        <v>66</v>
      </c>
      <c r="D50" s="17">
        <v>178.0</v>
      </c>
      <c r="E50" s="17">
        <v>188.0</v>
      </c>
      <c r="F50" s="17">
        <v>191.0</v>
      </c>
      <c r="G50" s="17">
        <v>255.0</v>
      </c>
      <c r="H50" s="17">
        <v>255.0</v>
      </c>
      <c r="I50" s="17">
        <v>255.0</v>
      </c>
      <c r="J50" s="28">
        <f t="shared" si="65"/>
        <v>0.5003881434</v>
      </c>
      <c r="K50" s="19">
        <f t="shared" si="66"/>
        <v>1</v>
      </c>
      <c r="L50" s="19">
        <f t="shared" si="67"/>
        <v>1</v>
      </c>
      <c r="M50" s="19">
        <f t="shared" si="68"/>
        <v>0.5003881434</v>
      </c>
      <c r="N50" s="19">
        <f t="shared" ref="N50:O50" si="79">L50+0.05</f>
        <v>1.05</v>
      </c>
      <c r="O50" s="19">
        <f t="shared" si="79"/>
        <v>0.5503881434</v>
      </c>
      <c r="P50" s="19">
        <f t="shared" si="70"/>
        <v>1.907744585</v>
      </c>
      <c r="Q50" s="23" t="s">
        <v>152</v>
      </c>
      <c r="R50" s="19" t="str">
        <f t="shared" si="75"/>
        <v>Low</v>
      </c>
      <c r="S50" s="21">
        <f t="shared" si="71"/>
        <v>1</v>
      </c>
      <c r="T50" s="30">
        <f t="shared" si="72"/>
        <v>0</v>
      </c>
      <c r="U50" s="30">
        <f t="shared" si="73"/>
        <v>0</v>
      </c>
    </row>
    <row r="51" ht="15.75" customHeight="1">
      <c r="A51" s="14" t="s">
        <v>86</v>
      </c>
      <c r="B51" s="27" t="s">
        <v>155</v>
      </c>
      <c r="C51" s="16" t="s">
        <v>66</v>
      </c>
      <c r="D51" s="17">
        <v>228.0</v>
      </c>
      <c r="E51" s="17">
        <v>236.0</v>
      </c>
      <c r="F51" s="17">
        <v>245.0</v>
      </c>
      <c r="G51" s="17">
        <v>255.0</v>
      </c>
      <c r="H51" s="17">
        <v>255.0</v>
      </c>
      <c r="I51" s="17">
        <v>255.0</v>
      </c>
      <c r="J51" s="28">
        <f t="shared" si="65"/>
        <v>0.8354953846</v>
      </c>
      <c r="K51" s="19">
        <f t="shared" si="66"/>
        <v>1</v>
      </c>
      <c r="L51" s="19">
        <f t="shared" si="67"/>
        <v>1</v>
      </c>
      <c r="M51" s="19">
        <f t="shared" si="68"/>
        <v>0.8354953846</v>
      </c>
      <c r="N51" s="19">
        <f t="shared" ref="N51:O51" si="80">L51+0.05</f>
        <v>1.05</v>
      </c>
      <c r="O51" s="19">
        <f t="shared" si="80"/>
        <v>0.8854953846</v>
      </c>
      <c r="P51" s="19">
        <f t="shared" si="70"/>
        <v>1.185776931</v>
      </c>
      <c r="Q51" s="23" t="s">
        <v>156</v>
      </c>
      <c r="R51" s="19" t="str">
        <f t="shared" si="75"/>
        <v>Low</v>
      </c>
      <c r="S51" s="21">
        <f t="shared" si="71"/>
        <v>1</v>
      </c>
      <c r="T51" s="30">
        <f t="shared" si="72"/>
        <v>0</v>
      </c>
      <c r="U51" s="30">
        <f t="shared" si="73"/>
        <v>0</v>
      </c>
    </row>
    <row r="52" ht="15.75" customHeight="1">
      <c r="A52" s="14" t="s">
        <v>89</v>
      </c>
      <c r="B52" s="27" t="s">
        <v>157</v>
      </c>
      <c r="C52" s="16" t="s">
        <v>66</v>
      </c>
      <c r="D52" s="17">
        <v>191.0</v>
      </c>
      <c r="E52" s="17">
        <v>191.0</v>
      </c>
      <c r="F52" s="17">
        <v>191.0</v>
      </c>
      <c r="G52" s="17">
        <v>255.0</v>
      </c>
      <c r="H52" s="17">
        <v>255.0</v>
      </c>
      <c r="I52" s="17">
        <v>255.0</v>
      </c>
      <c r="J52" s="28">
        <f t="shared" si="65"/>
        <v>0.5295232224</v>
      </c>
      <c r="K52" s="19">
        <f t="shared" si="66"/>
        <v>1</v>
      </c>
      <c r="L52" s="19">
        <f t="shared" si="67"/>
        <v>1</v>
      </c>
      <c r="M52" s="19">
        <f t="shared" si="68"/>
        <v>0.5295232224</v>
      </c>
      <c r="N52" s="19">
        <f t="shared" ref="N52:O52" si="81">L52+0.05</f>
        <v>1.05</v>
      </c>
      <c r="O52" s="19">
        <f t="shared" si="81"/>
        <v>0.5795232224</v>
      </c>
      <c r="P52" s="19">
        <f t="shared" si="70"/>
        <v>1.81183421</v>
      </c>
      <c r="Q52" s="23" t="s">
        <v>158</v>
      </c>
      <c r="R52" s="19" t="str">
        <f t="shared" si="75"/>
        <v>Low</v>
      </c>
      <c r="S52" s="30">
        <f t="shared" si="71"/>
        <v>1</v>
      </c>
      <c r="T52" s="21">
        <f t="shared" si="72"/>
        <v>0</v>
      </c>
      <c r="U52" s="30">
        <f t="shared" si="73"/>
        <v>0</v>
      </c>
    </row>
    <row r="53" ht="15.75" customHeight="1">
      <c r="A53" s="14" t="s">
        <v>92</v>
      </c>
      <c r="B53" s="27" t="s">
        <v>159</v>
      </c>
      <c r="C53" s="16" t="s">
        <v>66</v>
      </c>
      <c r="D53" s="18">
        <v>0.0</v>
      </c>
      <c r="E53" s="17">
        <v>0.0</v>
      </c>
      <c r="F53" s="17">
        <v>88.0</v>
      </c>
      <c r="G53" s="17">
        <v>255.0</v>
      </c>
      <c r="H53" s="17">
        <v>255.0</v>
      </c>
      <c r="I53" s="17">
        <v>255.0</v>
      </c>
      <c r="J53" s="28">
        <f t="shared" si="65"/>
        <v>0.006950414085</v>
      </c>
      <c r="K53" s="19">
        <f t="shared" si="66"/>
        <v>1</v>
      </c>
      <c r="L53" s="19">
        <f t="shared" si="67"/>
        <v>1</v>
      </c>
      <c r="M53" s="19">
        <f t="shared" si="68"/>
        <v>0.006950414085</v>
      </c>
      <c r="N53" s="19">
        <f t="shared" ref="N53:O53" si="82">L53+0.05</f>
        <v>1.05</v>
      </c>
      <c r="O53" s="19">
        <f t="shared" si="82"/>
        <v>0.05695041409</v>
      </c>
      <c r="P53" s="19">
        <f t="shared" si="70"/>
        <v>18.43709158</v>
      </c>
      <c r="Q53" s="23" t="s">
        <v>160</v>
      </c>
      <c r="R53" s="19" t="str">
        <f t="shared" si="75"/>
        <v>Medium</v>
      </c>
      <c r="S53" s="21">
        <f t="shared" si="71"/>
        <v>0</v>
      </c>
      <c r="T53" s="30">
        <f t="shared" si="72"/>
        <v>1</v>
      </c>
      <c r="U53" s="30">
        <f t="shared" si="73"/>
        <v>0</v>
      </c>
    </row>
    <row r="54" ht="15.75" customHeight="1">
      <c r="S54" s="7"/>
      <c r="T54" s="7"/>
      <c r="U54" s="7"/>
    </row>
    <row r="55" ht="35.25" customHeight="1">
      <c r="A55" s="25" t="s">
        <v>161</v>
      </c>
      <c r="O55" s="26"/>
      <c r="P55" s="26"/>
      <c r="Q55" s="26"/>
      <c r="S55" s="7"/>
      <c r="T55" s="7"/>
      <c r="U55" s="7"/>
    </row>
    <row r="56" ht="15.75" customHeight="1">
      <c r="A56" s="2" t="s">
        <v>43</v>
      </c>
      <c r="B56" s="9" t="s">
        <v>44</v>
      </c>
      <c r="C56" s="9" t="s">
        <v>45</v>
      </c>
      <c r="D56" s="10" t="s">
        <v>46</v>
      </c>
      <c r="E56" s="10" t="s">
        <v>47</v>
      </c>
      <c r="F56" s="10" t="s">
        <v>48</v>
      </c>
      <c r="G56" s="9" t="s">
        <v>49</v>
      </c>
      <c r="H56" s="9" t="s">
        <v>50</v>
      </c>
      <c r="I56" s="9" t="s">
        <v>51</v>
      </c>
      <c r="J56" s="9" t="s">
        <v>52</v>
      </c>
      <c r="K56" s="9" t="s">
        <v>53</v>
      </c>
      <c r="L56" s="11" t="s">
        <v>54</v>
      </c>
      <c r="M56" s="11" t="s">
        <v>55</v>
      </c>
      <c r="N56" s="9" t="s">
        <v>56</v>
      </c>
      <c r="O56" s="11" t="s">
        <v>57</v>
      </c>
      <c r="P56" s="11" t="s">
        <v>58</v>
      </c>
      <c r="Q56" s="11" t="s">
        <v>59</v>
      </c>
      <c r="R56" s="9" t="s">
        <v>60</v>
      </c>
      <c r="S56" s="13" t="s">
        <v>162</v>
      </c>
      <c r="T56" s="13" t="s">
        <v>163</v>
      </c>
      <c r="U56" s="13" t="s">
        <v>164</v>
      </c>
    </row>
    <row r="57" ht="15.75" customHeight="1">
      <c r="A57" s="14" t="s">
        <v>64</v>
      </c>
      <c r="B57" s="27" t="s">
        <v>165</v>
      </c>
      <c r="C57" s="16" t="s">
        <v>66</v>
      </c>
      <c r="D57" s="17">
        <v>0.0</v>
      </c>
      <c r="E57" s="17">
        <v>87.0</v>
      </c>
      <c r="F57" s="17">
        <v>217.0</v>
      </c>
      <c r="G57" s="18">
        <v>255.0</v>
      </c>
      <c r="H57" s="18">
        <v>255.0</v>
      </c>
      <c r="I57" s="18">
        <v>255.0</v>
      </c>
      <c r="J57" s="28">
        <f t="shared" ref="J57:J66" si="84">(0.2126*(D57/255)^2.2) + (0.7152*(E57/255)^2.2) + (0.0722*(F57/255)^2.2)</f>
        <v>0.1177644577</v>
      </c>
      <c r="K57" s="19">
        <f t="shared" ref="K57:K66" si="85">(0.2126*(G57/255)^2.2) + (0.7152*(H57/255)^2.2) + (0.0722*(I57/255)^2.2)</f>
        <v>1</v>
      </c>
      <c r="L57" s="19">
        <f t="shared" ref="L57:L66" si="86">MAX(J57,K57)</f>
        <v>1</v>
      </c>
      <c r="M57" s="19">
        <f t="shared" ref="M57:M66" si="87">MIN(J57,K57)</f>
        <v>0.1177644577</v>
      </c>
      <c r="N57" s="19">
        <f t="shared" ref="N57:O57" si="83">L57+0.05</f>
        <v>1.05</v>
      </c>
      <c r="O57" s="19">
        <f t="shared" si="83"/>
        <v>0.1677644577</v>
      </c>
      <c r="P57" s="19">
        <f t="shared" ref="P57:P66" si="89">N57*(1/O57)</f>
        <v>6.258775035</v>
      </c>
      <c r="Q57" s="20" t="s">
        <v>82</v>
      </c>
      <c r="R57" s="19" t="str">
        <f>IF(P57&lt;3,"Low",IF(P57&lt;7,"Medium","High"))</f>
        <v>Medium</v>
      </c>
      <c r="S57" s="21">
        <f t="shared" ref="S57:S66" si="90">IF(R57="Low",1,0)</f>
        <v>0</v>
      </c>
      <c r="T57" s="30">
        <f t="shared" ref="T57:T66" si="91">IF(R57="Medium",1,0)</f>
        <v>1</v>
      </c>
      <c r="U57" s="30">
        <f t="shared" ref="U57:U66" si="92">IF(R57="High",1,0)</f>
        <v>0</v>
      </c>
    </row>
    <row r="58" ht="15.75" customHeight="1">
      <c r="A58" s="14" t="s">
        <v>68</v>
      </c>
      <c r="B58" s="27" t="s">
        <v>166</v>
      </c>
      <c r="C58" s="16" t="s">
        <v>66</v>
      </c>
      <c r="D58" s="17">
        <v>214.0</v>
      </c>
      <c r="E58" s="17">
        <v>64.0</v>
      </c>
      <c r="F58" s="17">
        <v>0.0</v>
      </c>
      <c r="G58" s="18">
        <v>255.0</v>
      </c>
      <c r="H58" s="18">
        <v>255.0</v>
      </c>
      <c r="I58" s="18">
        <v>255.0</v>
      </c>
      <c r="J58" s="28">
        <f t="shared" si="84"/>
        <v>0.1787415437</v>
      </c>
      <c r="K58" s="19">
        <f t="shared" si="85"/>
        <v>1</v>
      </c>
      <c r="L58" s="19">
        <f t="shared" si="86"/>
        <v>1</v>
      </c>
      <c r="M58" s="19">
        <f t="shared" si="87"/>
        <v>0.1787415437</v>
      </c>
      <c r="N58" s="19">
        <f t="shared" ref="N58:O58" si="88">L58+0.05</f>
        <v>1.05</v>
      </c>
      <c r="O58" s="19">
        <f t="shared" si="88"/>
        <v>0.2287415437</v>
      </c>
      <c r="P58" s="19">
        <f t="shared" si="89"/>
        <v>4.590333627</v>
      </c>
      <c r="Q58" s="23" t="s">
        <v>152</v>
      </c>
      <c r="R58" s="19" t="str">
        <f t="shared" ref="R58:R66" si="94">IF(P58&lt;3,"Low",IF(O58&lt;7,"Medium","High"))</f>
        <v>Medium</v>
      </c>
      <c r="S58" s="30">
        <f t="shared" si="90"/>
        <v>0</v>
      </c>
      <c r="T58" s="21">
        <f t="shared" si="91"/>
        <v>1</v>
      </c>
      <c r="U58" s="30">
        <f t="shared" si="92"/>
        <v>0</v>
      </c>
    </row>
    <row r="59" ht="15.75" customHeight="1">
      <c r="A59" s="14" t="s">
        <v>71</v>
      </c>
      <c r="B59" s="27" t="s">
        <v>167</v>
      </c>
      <c r="C59" s="16" t="s">
        <v>66</v>
      </c>
      <c r="D59" s="17">
        <v>107.0</v>
      </c>
      <c r="E59" s="17">
        <v>40.0</v>
      </c>
      <c r="F59" s="17">
        <v>209.0</v>
      </c>
      <c r="G59" s="18">
        <v>255.0</v>
      </c>
      <c r="H59" s="18">
        <v>255.0</v>
      </c>
      <c r="I59" s="18">
        <v>255.0</v>
      </c>
      <c r="J59" s="28">
        <f t="shared" si="84"/>
        <v>0.09022332521</v>
      </c>
      <c r="K59" s="19">
        <f t="shared" si="85"/>
        <v>1</v>
      </c>
      <c r="L59" s="19">
        <f t="shared" si="86"/>
        <v>1</v>
      </c>
      <c r="M59" s="19">
        <f t="shared" si="87"/>
        <v>0.09022332521</v>
      </c>
      <c r="N59" s="19">
        <f t="shared" ref="N59:O59" si="93">L59+0.05</f>
        <v>1.05</v>
      </c>
      <c r="O59" s="19">
        <f t="shared" si="93"/>
        <v>0.1402233252</v>
      </c>
      <c r="P59" s="19">
        <f t="shared" si="89"/>
        <v>7.488055204</v>
      </c>
      <c r="Q59" s="23" t="s">
        <v>168</v>
      </c>
      <c r="R59" s="19" t="str">
        <f t="shared" si="94"/>
        <v>Medium</v>
      </c>
      <c r="S59" s="21">
        <f t="shared" si="90"/>
        <v>0</v>
      </c>
      <c r="T59" s="30">
        <f t="shared" si="91"/>
        <v>1</v>
      </c>
      <c r="U59" s="30">
        <f t="shared" si="92"/>
        <v>0</v>
      </c>
    </row>
    <row r="60" ht="15.75" customHeight="1">
      <c r="A60" s="14" t="s">
        <v>74</v>
      </c>
      <c r="B60" s="27" t="s">
        <v>75</v>
      </c>
      <c r="C60" s="16" t="s">
        <v>66</v>
      </c>
      <c r="D60" s="17">
        <v>24.0</v>
      </c>
      <c r="E60" s="17">
        <v>101.0</v>
      </c>
      <c r="F60" s="17">
        <v>242.0</v>
      </c>
      <c r="G60" s="18">
        <v>255.0</v>
      </c>
      <c r="H60" s="18">
        <v>255.0</v>
      </c>
      <c r="I60" s="18">
        <v>255.0</v>
      </c>
      <c r="J60" s="28">
        <f t="shared" si="84"/>
        <v>0.1587509913</v>
      </c>
      <c r="K60" s="19">
        <f t="shared" si="85"/>
        <v>1</v>
      </c>
      <c r="L60" s="19">
        <f t="shared" si="86"/>
        <v>1</v>
      </c>
      <c r="M60" s="19">
        <f t="shared" si="87"/>
        <v>0.1587509913</v>
      </c>
      <c r="N60" s="19">
        <f t="shared" ref="N60:O60" si="95">L60+0.05</f>
        <v>1.05</v>
      </c>
      <c r="O60" s="19">
        <f t="shared" si="95"/>
        <v>0.2087509913</v>
      </c>
      <c r="P60" s="19">
        <f t="shared" si="89"/>
        <v>5.029916234</v>
      </c>
      <c r="Q60" s="23" t="s">
        <v>169</v>
      </c>
      <c r="R60" s="19" t="str">
        <f t="shared" si="94"/>
        <v>Medium</v>
      </c>
      <c r="S60" s="22">
        <f t="shared" si="90"/>
        <v>0</v>
      </c>
      <c r="T60" s="21">
        <f t="shared" si="91"/>
        <v>1</v>
      </c>
      <c r="U60" s="30">
        <f t="shared" si="92"/>
        <v>0</v>
      </c>
    </row>
    <row r="61" ht="15.75" customHeight="1">
      <c r="A61" s="14" t="s">
        <v>77</v>
      </c>
      <c r="B61" s="27" t="s">
        <v>170</v>
      </c>
      <c r="C61" s="16" t="s">
        <v>66</v>
      </c>
      <c r="D61" s="17">
        <v>55.0</v>
      </c>
      <c r="E61" s="17">
        <v>130.0</v>
      </c>
      <c r="F61" s="17">
        <v>204.0</v>
      </c>
      <c r="G61" s="18">
        <v>255.0</v>
      </c>
      <c r="H61" s="18">
        <v>255.0</v>
      </c>
      <c r="I61" s="18">
        <v>255.0</v>
      </c>
      <c r="J61" s="28">
        <f t="shared" si="84"/>
        <v>0.2139165213</v>
      </c>
      <c r="K61" s="19">
        <f t="shared" si="85"/>
        <v>1</v>
      </c>
      <c r="L61" s="19">
        <f t="shared" si="86"/>
        <v>1</v>
      </c>
      <c r="M61" s="19">
        <f t="shared" si="87"/>
        <v>0.2139165213</v>
      </c>
      <c r="N61" s="19">
        <f t="shared" ref="N61:O61" si="96">L61+0.05</f>
        <v>1.05</v>
      </c>
      <c r="O61" s="19">
        <f t="shared" si="96"/>
        <v>0.2639165213</v>
      </c>
      <c r="P61" s="19">
        <f t="shared" si="89"/>
        <v>3.978530768</v>
      </c>
      <c r="Q61" s="23" t="s">
        <v>171</v>
      </c>
      <c r="R61" s="19" t="str">
        <f t="shared" si="94"/>
        <v>Medium</v>
      </c>
      <c r="S61" s="22">
        <f t="shared" si="90"/>
        <v>0</v>
      </c>
      <c r="T61" s="21">
        <f t="shared" si="91"/>
        <v>1</v>
      </c>
      <c r="U61" s="30">
        <f t="shared" si="92"/>
        <v>0</v>
      </c>
    </row>
    <row r="62" ht="15.75" customHeight="1">
      <c r="A62" s="14" t="s">
        <v>80</v>
      </c>
      <c r="B62" s="27" t="s">
        <v>81</v>
      </c>
      <c r="C62" s="31" t="s">
        <v>66</v>
      </c>
      <c r="D62" s="17">
        <v>222.0</v>
      </c>
      <c r="E62" s="17">
        <v>0.0</v>
      </c>
      <c r="F62" s="17">
        <v>166.0</v>
      </c>
      <c r="G62" s="18">
        <v>255.0</v>
      </c>
      <c r="H62" s="18">
        <v>255.0</v>
      </c>
      <c r="I62" s="18">
        <v>255.0</v>
      </c>
      <c r="J62" s="28">
        <f t="shared" si="84"/>
        <v>0.1848090583</v>
      </c>
      <c r="K62" s="19">
        <f t="shared" si="85"/>
        <v>1</v>
      </c>
      <c r="L62" s="19">
        <f t="shared" si="86"/>
        <v>1</v>
      </c>
      <c r="M62" s="19">
        <f t="shared" si="87"/>
        <v>0.1848090583</v>
      </c>
      <c r="N62" s="19">
        <f t="shared" ref="N62:O62" si="97">L62+0.05</f>
        <v>1.05</v>
      </c>
      <c r="O62" s="19">
        <f t="shared" si="97"/>
        <v>0.2348090583</v>
      </c>
      <c r="P62" s="19">
        <f t="shared" si="89"/>
        <v>4.471718457</v>
      </c>
      <c r="Q62" s="23" t="s">
        <v>152</v>
      </c>
      <c r="R62" s="19" t="str">
        <f t="shared" si="94"/>
        <v>Medium</v>
      </c>
      <c r="S62" s="22">
        <f t="shared" si="90"/>
        <v>0</v>
      </c>
      <c r="T62" s="21">
        <f t="shared" si="91"/>
        <v>1</v>
      </c>
      <c r="U62" s="30">
        <f t="shared" si="92"/>
        <v>0</v>
      </c>
    </row>
    <row r="63" ht="15.75" customHeight="1">
      <c r="A63" s="14" t="s">
        <v>83</v>
      </c>
      <c r="B63" s="27" t="s">
        <v>172</v>
      </c>
      <c r="C63" s="31" t="s">
        <v>66</v>
      </c>
      <c r="D63" s="17">
        <v>0.0</v>
      </c>
      <c r="E63" s="17">
        <v>156.0</v>
      </c>
      <c r="F63" s="17">
        <v>93.0</v>
      </c>
      <c r="G63" s="18">
        <v>255.0</v>
      </c>
      <c r="H63" s="18">
        <v>255.0</v>
      </c>
      <c r="I63" s="18">
        <v>255.0</v>
      </c>
      <c r="J63" s="28">
        <f t="shared" si="84"/>
        <v>0.2504614742</v>
      </c>
      <c r="K63" s="19">
        <f t="shared" si="85"/>
        <v>1</v>
      </c>
      <c r="L63" s="19">
        <f t="shared" si="86"/>
        <v>1</v>
      </c>
      <c r="M63" s="19">
        <f t="shared" si="87"/>
        <v>0.2504614742</v>
      </c>
      <c r="N63" s="19">
        <f t="shared" ref="N63:O63" si="98">L63+0.05</f>
        <v>1.05</v>
      </c>
      <c r="O63" s="19">
        <f t="shared" si="98"/>
        <v>0.3004614742</v>
      </c>
      <c r="P63" s="19">
        <f t="shared" si="89"/>
        <v>3.494624404</v>
      </c>
      <c r="Q63" s="23" t="s">
        <v>152</v>
      </c>
      <c r="R63" s="19" t="str">
        <f t="shared" si="94"/>
        <v>Medium</v>
      </c>
      <c r="S63" s="21">
        <f t="shared" si="90"/>
        <v>0</v>
      </c>
      <c r="T63" s="30">
        <f t="shared" si="91"/>
        <v>1</v>
      </c>
      <c r="U63" s="30">
        <f t="shared" si="92"/>
        <v>0</v>
      </c>
    </row>
    <row r="64" ht="15.75" customHeight="1">
      <c r="A64" s="14" t="s">
        <v>86</v>
      </c>
      <c r="B64" s="27" t="s">
        <v>173</v>
      </c>
      <c r="C64" s="31" t="s">
        <v>66</v>
      </c>
      <c r="D64" s="17">
        <v>0.0</v>
      </c>
      <c r="E64" s="17">
        <v>195.0</v>
      </c>
      <c r="F64" s="17">
        <v>201.0</v>
      </c>
      <c r="G64" s="18">
        <v>255.0</v>
      </c>
      <c r="H64" s="18">
        <v>255.0</v>
      </c>
      <c r="I64" s="18">
        <v>255.0</v>
      </c>
      <c r="J64" s="28">
        <f t="shared" si="84"/>
        <v>0.439157239</v>
      </c>
      <c r="K64" s="19">
        <f t="shared" si="85"/>
        <v>1</v>
      </c>
      <c r="L64" s="19">
        <f t="shared" si="86"/>
        <v>1</v>
      </c>
      <c r="M64" s="19">
        <f t="shared" si="87"/>
        <v>0.439157239</v>
      </c>
      <c r="N64" s="19">
        <f t="shared" ref="N64:O64" si="99">L64+0.05</f>
        <v>1.05</v>
      </c>
      <c r="O64" s="19">
        <f t="shared" si="99"/>
        <v>0.489157239</v>
      </c>
      <c r="P64" s="19">
        <f t="shared" si="89"/>
        <v>2.146549037</v>
      </c>
      <c r="Q64" s="23" t="s">
        <v>174</v>
      </c>
      <c r="R64" s="19" t="str">
        <f t="shared" si="94"/>
        <v>Low</v>
      </c>
      <c r="S64" s="21">
        <f t="shared" si="90"/>
        <v>1</v>
      </c>
      <c r="T64" s="30">
        <f t="shared" si="91"/>
        <v>0</v>
      </c>
      <c r="U64" s="30">
        <f t="shared" si="92"/>
        <v>0</v>
      </c>
    </row>
    <row r="65" ht="15.75" customHeight="1">
      <c r="A65" s="14" t="s">
        <v>89</v>
      </c>
      <c r="B65" s="27" t="s">
        <v>175</v>
      </c>
      <c r="C65" s="31" t="s">
        <v>66</v>
      </c>
      <c r="D65" s="17">
        <v>50.0</v>
      </c>
      <c r="E65" s="17">
        <v>252.0</v>
      </c>
      <c r="F65" s="17">
        <v>168.0</v>
      </c>
      <c r="G65" s="18">
        <v>255.0</v>
      </c>
      <c r="H65" s="18">
        <v>255.0</v>
      </c>
      <c r="I65" s="18">
        <v>255.0</v>
      </c>
      <c r="J65" s="28">
        <f t="shared" si="84"/>
        <v>0.7315492535</v>
      </c>
      <c r="K65" s="19">
        <f t="shared" si="85"/>
        <v>1</v>
      </c>
      <c r="L65" s="19">
        <f t="shared" si="86"/>
        <v>1</v>
      </c>
      <c r="M65" s="19">
        <f t="shared" si="87"/>
        <v>0.7315492535</v>
      </c>
      <c r="N65" s="19">
        <f t="shared" ref="N65:O65" si="100">L65+0.05</f>
        <v>1.05</v>
      </c>
      <c r="O65" s="19">
        <f t="shared" si="100"/>
        <v>0.7815492535</v>
      </c>
      <c r="P65" s="19">
        <f t="shared" si="89"/>
        <v>1.343485385</v>
      </c>
      <c r="Q65" s="23" t="s">
        <v>176</v>
      </c>
      <c r="R65" s="19" t="str">
        <f t="shared" si="94"/>
        <v>Low</v>
      </c>
      <c r="S65" s="22">
        <f t="shared" si="90"/>
        <v>1</v>
      </c>
      <c r="T65" s="21">
        <f t="shared" si="91"/>
        <v>0</v>
      </c>
      <c r="U65" s="30">
        <f t="shared" si="92"/>
        <v>0</v>
      </c>
    </row>
    <row r="66" ht="15.75" customHeight="1">
      <c r="A66" s="14" t="s">
        <v>92</v>
      </c>
      <c r="B66" s="27" t="s">
        <v>177</v>
      </c>
      <c r="C66" s="31" t="s">
        <v>66</v>
      </c>
      <c r="D66" s="17">
        <v>36.0</v>
      </c>
      <c r="E66" s="17">
        <v>38.0</v>
      </c>
      <c r="F66" s="17">
        <v>179.0</v>
      </c>
      <c r="G66" s="18">
        <v>255.0</v>
      </c>
      <c r="H66" s="18">
        <v>255.0</v>
      </c>
      <c r="I66" s="18">
        <v>255.0</v>
      </c>
      <c r="J66" s="28">
        <f t="shared" si="84"/>
        <v>0.04686334275</v>
      </c>
      <c r="K66" s="19">
        <f t="shared" si="85"/>
        <v>1</v>
      </c>
      <c r="L66" s="19">
        <f t="shared" si="86"/>
        <v>1</v>
      </c>
      <c r="M66" s="19">
        <f t="shared" si="87"/>
        <v>0.04686334275</v>
      </c>
      <c r="N66" s="19">
        <f t="shared" ref="N66:O66" si="101">L66+0.05</f>
        <v>1.05</v>
      </c>
      <c r="O66" s="19">
        <f t="shared" si="101"/>
        <v>0.09686334275</v>
      </c>
      <c r="P66" s="19">
        <f t="shared" si="89"/>
        <v>10.84001409</v>
      </c>
      <c r="Q66" s="23" t="s">
        <v>178</v>
      </c>
      <c r="R66" s="19" t="str">
        <f t="shared" si="94"/>
        <v>Medium</v>
      </c>
      <c r="S66" s="22">
        <f t="shared" si="90"/>
        <v>0</v>
      </c>
      <c r="T66" s="21">
        <f t="shared" si="91"/>
        <v>1</v>
      </c>
      <c r="U66" s="30">
        <f t="shared" si="92"/>
        <v>0</v>
      </c>
    </row>
    <row r="67" ht="15.75" customHeight="1">
      <c r="S67" s="7"/>
      <c r="T67" s="7"/>
      <c r="U67" s="7"/>
    </row>
    <row r="68" ht="15.75" customHeight="1">
      <c r="S68" s="7"/>
      <c r="T68" s="7"/>
      <c r="U68" s="7"/>
    </row>
    <row r="69" ht="15.75" customHeight="1">
      <c r="S69" s="7"/>
      <c r="T69" s="7"/>
      <c r="U69" s="7"/>
    </row>
    <row r="70" ht="15.75" customHeight="1">
      <c r="S70" s="7"/>
      <c r="T70" s="7"/>
      <c r="U70" s="7"/>
    </row>
    <row r="71" ht="15.75" customHeight="1">
      <c r="S71" s="7"/>
      <c r="T71" s="7"/>
      <c r="U71" s="7"/>
    </row>
    <row r="72" ht="15.75" customHeight="1">
      <c r="S72" s="7"/>
      <c r="T72" s="7"/>
      <c r="U72" s="7"/>
    </row>
    <row r="73" ht="15.75" customHeight="1">
      <c r="S73" s="7"/>
      <c r="T73" s="7"/>
      <c r="U73" s="7"/>
    </row>
    <row r="74" ht="15.75" customHeight="1">
      <c r="S74" s="7"/>
      <c r="T74" s="7"/>
      <c r="U74" s="7"/>
    </row>
    <row r="75" ht="15.75" customHeight="1">
      <c r="S75" s="7"/>
      <c r="T75" s="7"/>
      <c r="U75" s="7"/>
    </row>
    <row r="76" ht="15.75" customHeight="1">
      <c r="S76" s="7"/>
      <c r="T76" s="7"/>
      <c r="U76" s="7"/>
    </row>
    <row r="77" ht="15.75" customHeight="1">
      <c r="S77" s="7"/>
      <c r="T77" s="7"/>
      <c r="U77" s="7"/>
    </row>
    <row r="78" ht="15.75" customHeight="1">
      <c r="S78" s="7"/>
      <c r="T78" s="7"/>
      <c r="U78" s="7"/>
    </row>
    <row r="79" ht="15.75" customHeight="1">
      <c r="S79" s="7"/>
      <c r="T79" s="7"/>
      <c r="U79" s="7"/>
    </row>
    <row r="80" ht="15.75" customHeight="1">
      <c r="S80" s="7"/>
      <c r="T80" s="7"/>
      <c r="U80" s="7"/>
    </row>
    <row r="81" ht="15.75" customHeight="1">
      <c r="S81" s="7"/>
      <c r="T81" s="7"/>
      <c r="U81" s="7"/>
    </row>
    <row r="82" ht="15.75" customHeight="1">
      <c r="S82" s="7"/>
      <c r="T82" s="7"/>
      <c r="U82" s="7"/>
    </row>
    <row r="83" ht="15.75" customHeight="1">
      <c r="S83" s="7"/>
      <c r="T83" s="7"/>
      <c r="U83" s="7"/>
    </row>
    <row r="84" ht="15.75" customHeight="1">
      <c r="S84" s="7"/>
      <c r="T84" s="7"/>
      <c r="U84" s="7"/>
    </row>
    <row r="85" ht="15.75" customHeight="1">
      <c r="S85" s="7"/>
      <c r="T85" s="7"/>
      <c r="U85" s="7"/>
    </row>
    <row r="86" ht="15.75" customHeight="1">
      <c r="S86" s="7"/>
      <c r="T86" s="7"/>
      <c r="U86" s="7"/>
    </row>
    <row r="87" ht="15.75" customHeight="1">
      <c r="S87" s="7"/>
      <c r="T87" s="7"/>
      <c r="U87" s="7"/>
    </row>
    <row r="88" ht="15.75" customHeight="1">
      <c r="S88" s="7"/>
      <c r="T88" s="7"/>
      <c r="U88" s="7"/>
    </row>
    <row r="89" ht="15.75" customHeight="1">
      <c r="S89" s="7"/>
      <c r="T89" s="7"/>
      <c r="U89" s="7"/>
    </row>
    <row r="90" ht="15.75" customHeight="1">
      <c r="S90" s="7"/>
      <c r="T90" s="7"/>
      <c r="U90" s="7"/>
    </row>
    <row r="91" ht="15.75" customHeight="1">
      <c r="S91" s="7"/>
      <c r="T91" s="7"/>
      <c r="U91" s="7"/>
    </row>
    <row r="92" ht="15.75" customHeight="1">
      <c r="S92" s="7"/>
      <c r="T92" s="7"/>
      <c r="U92" s="7"/>
    </row>
    <row r="93" ht="15.75" customHeight="1">
      <c r="S93" s="7"/>
      <c r="T93" s="7"/>
      <c r="U93" s="7"/>
    </row>
    <row r="94" ht="15.75" customHeight="1">
      <c r="S94" s="7"/>
      <c r="T94" s="7"/>
      <c r="U94" s="7"/>
    </row>
    <row r="95" ht="15.75" customHeight="1">
      <c r="S95" s="7"/>
      <c r="T95" s="7"/>
      <c r="U95" s="7"/>
    </row>
    <row r="96" ht="15.75" customHeight="1">
      <c r="S96" s="7"/>
      <c r="T96" s="7"/>
      <c r="U96" s="7"/>
    </row>
    <row r="97" ht="15.75" customHeight="1">
      <c r="S97" s="7"/>
      <c r="T97" s="7"/>
      <c r="U97" s="7"/>
    </row>
    <row r="98" ht="15.75" customHeight="1">
      <c r="S98" s="7"/>
      <c r="T98" s="7"/>
      <c r="U98" s="7"/>
    </row>
    <row r="99" ht="15.75" customHeight="1">
      <c r="S99" s="7"/>
      <c r="T99" s="7"/>
      <c r="U99" s="7"/>
    </row>
    <row r="100" ht="15.75" customHeight="1">
      <c r="S100" s="7"/>
      <c r="T100" s="7"/>
      <c r="U100" s="7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75"/>
    <col customWidth="1" min="5" max="5" width="11.88"/>
    <col customWidth="1" min="6" max="27" width="8.75"/>
    <col customWidth="1" min="28" max="28" width="10.25"/>
  </cols>
  <sheetData>
    <row r="1">
      <c r="A1" s="32" t="s">
        <v>179</v>
      </c>
      <c r="P1" s="6" t="s">
        <v>180</v>
      </c>
    </row>
    <row r="2">
      <c r="B2" s="33" t="s">
        <v>181</v>
      </c>
      <c r="C2" s="33" t="s">
        <v>182</v>
      </c>
      <c r="D2" s="33" t="s">
        <v>183</v>
      </c>
      <c r="E2" s="33" t="s">
        <v>184</v>
      </c>
      <c r="F2" s="34" t="s">
        <v>185</v>
      </c>
      <c r="G2" s="35"/>
      <c r="H2" s="35"/>
      <c r="I2" s="35"/>
      <c r="J2" s="35"/>
      <c r="K2" s="35"/>
      <c r="L2" s="35"/>
      <c r="M2" s="35"/>
      <c r="N2" s="35"/>
      <c r="O2" s="36"/>
      <c r="P2" s="37"/>
      <c r="Q2" s="38" t="s">
        <v>186</v>
      </c>
      <c r="R2" s="35"/>
      <c r="S2" s="35"/>
      <c r="T2" s="35"/>
      <c r="U2" s="35"/>
      <c r="V2" s="35"/>
      <c r="W2" s="35"/>
      <c r="X2" s="35"/>
      <c r="Y2" s="35"/>
      <c r="Z2" s="36"/>
      <c r="AA2" s="33" t="s">
        <v>187</v>
      </c>
      <c r="AB2" s="39" t="s">
        <v>188</v>
      </c>
    </row>
    <row r="3">
      <c r="B3" s="40"/>
      <c r="C3" s="40"/>
      <c r="D3" s="40"/>
      <c r="E3" s="40"/>
      <c r="F3" s="41" t="s">
        <v>189</v>
      </c>
      <c r="G3" s="41" t="s">
        <v>190</v>
      </c>
      <c r="H3" s="41" t="s">
        <v>191</v>
      </c>
      <c r="I3" s="33" t="s">
        <v>192</v>
      </c>
      <c r="J3" s="33" t="s">
        <v>193</v>
      </c>
      <c r="K3" s="33" t="s">
        <v>194</v>
      </c>
      <c r="L3" s="41" t="s">
        <v>195</v>
      </c>
      <c r="M3" s="41" t="s">
        <v>196</v>
      </c>
      <c r="N3" s="41" t="s">
        <v>197</v>
      </c>
      <c r="O3" s="41" t="s">
        <v>198</v>
      </c>
      <c r="P3" s="37"/>
      <c r="Q3" s="42" t="s">
        <v>189</v>
      </c>
      <c r="R3" s="42" t="s">
        <v>190</v>
      </c>
      <c r="S3" s="42" t="s">
        <v>191</v>
      </c>
      <c r="T3" s="42" t="s">
        <v>192</v>
      </c>
      <c r="U3" s="42" t="s">
        <v>193</v>
      </c>
      <c r="V3" s="42" t="s">
        <v>194</v>
      </c>
      <c r="W3" s="42" t="s">
        <v>195</v>
      </c>
      <c r="X3" s="42" t="s">
        <v>196</v>
      </c>
      <c r="Y3" s="42" t="s">
        <v>197</v>
      </c>
      <c r="Z3" s="42" t="s">
        <v>198</v>
      </c>
      <c r="AA3" s="40"/>
      <c r="AB3" s="40"/>
    </row>
    <row r="4">
      <c r="B4" s="43">
        <v>1.0</v>
      </c>
      <c r="C4" s="44" t="s">
        <v>199</v>
      </c>
      <c r="D4" s="45">
        <v>12.0</v>
      </c>
      <c r="E4" s="46" t="s">
        <v>200</v>
      </c>
      <c r="F4" s="47">
        <v>1.0</v>
      </c>
      <c r="G4" s="47">
        <v>1.0</v>
      </c>
      <c r="H4" s="48">
        <v>1.0</v>
      </c>
      <c r="I4" s="49">
        <v>1.0</v>
      </c>
      <c r="J4" s="49">
        <v>1.0</v>
      </c>
      <c r="K4" s="49">
        <v>1.0</v>
      </c>
      <c r="L4" s="50">
        <v>1.0</v>
      </c>
      <c r="M4" s="47">
        <v>1.0</v>
      </c>
      <c r="N4" s="47">
        <v>1.0</v>
      </c>
      <c r="O4" s="47">
        <v>1.0</v>
      </c>
      <c r="P4" s="37"/>
      <c r="Q4" s="51">
        <f t="shared" ref="Q4:Q28" si="1">F4-1</f>
        <v>0</v>
      </c>
      <c r="R4" s="51">
        <f t="shared" ref="R4:R28" si="2">5-G4</f>
        <v>4</v>
      </c>
      <c r="S4" s="51">
        <f t="shared" ref="S4:S28" si="3">H4-1</f>
        <v>0</v>
      </c>
      <c r="T4" s="51">
        <f t="shared" ref="T4:T28" si="4">5-I4</f>
        <v>4</v>
      </c>
      <c r="U4" s="51">
        <f t="shared" ref="U4:U28" si="5">J4-1</f>
        <v>0</v>
      </c>
      <c r="V4" s="51">
        <f t="shared" ref="V4:V28" si="6">5-K4</f>
        <v>4</v>
      </c>
      <c r="W4" s="51">
        <f t="shared" ref="W4:W28" si="7">L4-1</f>
        <v>0</v>
      </c>
      <c r="X4" s="51">
        <f t="shared" ref="X4:X28" si="8">5-M4</f>
        <v>4</v>
      </c>
      <c r="Y4" s="51">
        <f t="shared" ref="Y4:Y28" si="9">N4-1</f>
        <v>0</v>
      </c>
      <c r="Z4" s="51">
        <f t="shared" ref="Z4:Z28" si="10">5-O4</f>
        <v>4</v>
      </c>
      <c r="AA4" s="52">
        <f t="shared" ref="AA4:AA28" si="11">SUM(Q4:Z4)</f>
        <v>20</v>
      </c>
      <c r="AB4" s="53">
        <f t="shared" ref="AB4:AB28" si="12">AA4*2.5</f>
        <v>50</v>
      </c>
    </row>
    <row r="5">
      <c r="B5" s="43">
        <v>2.0</v>
      </c>
      <c r="C5" s="44" t="s">
        <v>201</v>
      </c>
      <c r="D5" s="45">
        <v>12.0</v>
      </c>
      <c r="E5" s="46" t="s">
        <v>202</v>
      </c>
      <c r="F5" s="47">
        <v>4.0</v>
      </c>
      <c r="G5" s="47">
        <v>4.0</v>
      </c>
      <c r="H5" s="48">
        <v>5.0</v>
      </c>
      <c r="I5" s="49">
        <v>5.0</v>
      </c>
      <c r="J5" s="49">
        <v>4.0</v>
      </c>
      <c r="K5" s="49">
        <v>5.0</v>
      </c>
      <c r="L5" s="50">
        <v>4.0</v>
      </c>
      <c r="M5" s="47">
        <v>5.0</v>
      </c>
      <c r="N5" s="47">
        <v>4.0</v>
      </c>
      <c r="O5" s="47">
        <v>5.0</v>
      </c>
      <c r="P5" s="37"/>
      <c r="Q5" s="42">
        <f t="shared" si="1"/>
        <v>3</v>
      </c>
      <c r="R5" s="42">
        <f t="shared" si="2"/>
        <v>1</v>
      </c>
      <c r="S5" s="42">
        <f t="shared" si="3"/>
        <v>4</v>
      </c>
      <c r="T5" s="42">
        <f t="shared" si="4"/>
        <v>0</v>
      </c>
      <c r="U5" s="42">
        <f t="shared" si="5"/>
        <v>3</v>
      </c>
      <c r="V5" s="42">
        <f t="shared" si="6"/>
        <v>0</v>
      </c>
      <c r="W5" s="42">
        <f t="shared" si="7"/>
        <v>3</v>
      </c>
      <c r="X5" s="42">
        <f t="shared" si="8"/>
        <v>0</v>
      </c>
      <c r="Y5" s="42">
        <f t="shared" si="9"/>
        <v>3</v>
      </c>
      <c r="Z5" s="42">
        <f t="shared" si="10"/>
        <v>0</v>
      </c>
      <c r="AA5" s="52">
        <f t="shared" si="11"/>
        <v>17</v>
      </c>
      <c r="AB5" s="53">
        <f t="shared" si="12"/>
        <v>42.5</v>
      </c>
    </row>
    <row r="6">
      <c r="B6" s="43">
        <v>3.0</v>
      </c>
      <c r="C6" s="44" t="s">
        <v>203</v>
      </c>
      <c r="D6" s="45">
        <v>12.0</v>
      </c>
      <c r="E6" s="46" t="s">
        <v>202</v>
      </c>
      <c r="F6" s="47">
        <v>2.0</v>
      </c>
      <c r="G6" s="47">
        <v>1.0</v>
      </c>
      <c r="H6" s="48">
        <v>4.0</v>
      </c>
      <c r="I6" s="49">
        <v>1.0</v>
      </c>
      <c r="J6" s="49">
        <v>5.0</v>
      </c>
      <c r="K6" s="49">
        <v>2.0</v>
      </c>
      <c r="L6" s="50">
        <v>4.0</v>
      </c>
      <c r="M6" s="47">
        <v>3.0</v>
      </c>
      <c r="N6" s="47">
        <v>4.0</v>
      </c>
      <c r="O6" s="47">
        <v>4.0</v>
      </c>
      <c r="P6" s="37"/>
      <c r="Q6" s="42">
        <f t="shared" si="1"/>
        <v>1</v>
      </c>
      <c r="R6" s="42">
        <f t="shared" si="2"/>
        <v>4</v>
      </c>
      <c r="S6" s="42">
        <f t="shared" si="3"/>
        <v>3</v>
      </c>
      <c r="T6" s="42">
        <f t="shared" si="4"/>
        <v>4</v>
      </c>
      <c r="U6" s="42">
        <f t="shared" si="5"/>
        <v>4</v>
      </c>
      <c r="V6" s="42">
        <f t="shared" si="6"/>
        <v>3</v>
      </c>
      <c r="W6" s="42">
        <f t="shared" si="7"/>
        <v>3</v>
      </c>
      <c r="X6" s="42">
        <f t="shared" si="8"/>
        <v>2</v>
      </c>
      <c r="Y6" s="42">
        <f t="shared" si="9"/>
        <v>3</v>
      </c>
      <c r="Z6" s="42">
        <f t="shared" si="10"/>
        <v>1</v>
      </c>
      <c r="AA6" s="52">
        <f t="shared" si="11"/>
        <v>28</v>
      </c>
      <c r="AB6" s="53">
        <f t="shared" si="12"/>
        <v>70</v>
      </c>
    </row>
    <row r="7">
      <c r="B7" s="43">
        <v>4.0</v>
      </c>
      <c r="C7" s="44" t="s">
        <v>204</v>
      </c>
      <c r="D7" s="45">
        <v>12.0</v>
      </c>
      <c r="E7" s="46" t="s">
        <v>202</v>
      </c>
      <c r="F7" s="47">
        <v>5.0</v>
      </c>
      <c r="G7" s="47">
        <v>1.0</v>
      </c>
      <c r="H7" s="48">
        <v>1.0</v>
      </c>
      <c r="I7" s="49">
        <v>5.0</v>
      </c>
      <c r="J7" s="49">
        <v>4.0</v>
      </c>
      <c r="K7" s="49">
        <v>1.0</v>
      </c>
      <c r="L7" s="50">
        <v>3.0</v>
      </c>
      <c r="M7" s="47">
        <v>5.0</v>
      </c>
      <c r="N7" s="47">
        <v>1.0</v>
      </c>
      <c r="O7" s="47">
        <v>3.0</v>
      </c>
      <c r="P7" s="37"/>
      <c r="Q7" s="42">
        <f t="shared" si="1"/>
        <v>4</v>
      </c>
      <c r="R7" s="42">
        <f t="shared" si="2"/>
        <v>4</v>
      </c>
      <c r="S7" s="42">
        <f t="shared" si="3"/>
        <v>0</v>
      </c>
      <c r="T7" s="42">
        <f t="shared" si="4"/>
        <v>0</v>
      </c>
      <c r="U7" s="42">
        <f t="shared" si="5"/>
        <v>3</v>
      </c>
      <c r="V7" s="42">
        <f t="shared" si="6"/>
        <v>4</v>
      </c>
      <c r="W7" s="42">
        <f t="shared" si="7"/>
        <v>2</v>
      </c>
      <c r="X7" s="42">
        <f t="shared" si="8"/>
        <v>0</v>
      </c>
      <c r="Y7" s="42">
        <f t="shared" si="9"/>
        <v>0</v>
      </c>
      <c r="Z7" s="42">
        <f t="shared" si="10"/>
        <v>2</v>
      </c>
      <c r="AA7" s="52">
        <f t="shared" si="11"/>
        <v>19</v>
      </c>
      <c r="AB7" s="53">
        <f t="shared" si="12"/>
        <v>47.5</v>
      </c>
    </row>
    <row r="8">
      <c r="B8" s="43">
        <v>5.0</v>
      </c>
      <c r="C8" s="44" t="s">
        <v>205</v>
      </c>
      <c r="D8" s="45">
        <v>12.0</v>
      </c>
      <c r="E8" s="46" t="s">
        <v>202</v>
      </c>
      <c r="F8" s="47">
        <v>1.0</v>
      </c>
      <c r="G8" s="47">
        <v>1.0</v>
      </c>
      <c r="H8" s="48">
        <v>5.0</v>
      </c>
      <c r="I8" s="49">
        <v>1.0</v>
      </c>
      <c r="J8" s="49">
        <v>3.0</v>
      </c>
      <c r="K8" s="49">
        <v>1.0</v>
      </c>
      <c r="L8" s="50">
        <v>5.0</v>
      </c>
      <c r="M8" s="47">
        <v>5.0</v>
      </c>
      <c r="N8" s="47">
        <v>5.0</v>
      </c>
      <c r="O8" s="47">
        <v>5.0</v>
      </c>
      <c r="P8" s="37"/>
      <c r="Q8" s="42">
        <f t="shared" si="1"/>
        <v>0</v>
      </c>
      <c r="R8" s="42">
        <f t="shared" si="2"/>
        <v>4</v>
      </c>
      <c r="S8" s="42">
        <f t="shared" si="3"/>
        <v>4</v>
      </c>
      <c r="T8" s="42">
        <f t="shared" si="4"/>
        <v>4</v>
      </c>
      <c r="U8" s="42">
        <f t="shared" si="5"/>
        <v>2</v>
      </c>
      <c r="V8" s="42">
        <f t="shared" si="6"/>
        <v>4</v>
      </c>
      <c r="W8" s="42">
        <f t="shared" si="7"/>
        <v>4</v>
      </c>
      <c r="X8" s="42">
        <f t="shared" si="8"/>
        <v>0</v>
      </c>
      <c r="Y8" s="42">
        <f t="shared" si="9"/>
        <v>4</v>
      </c>
      <c r="Z8" s="42">
        <f t="shared" si="10"/>
        <v>0</v>
      </c>
      <c r="AA8" s="52">
        <f t="shared" si="11"/>
        <v>26</v>
      </c>
      <c r="AB8" s="53">
        <f t="shared" si="12"/>
        <v>65</v>
      </c>
    </row>
    <row r="9">
      <c r="B9" s="43">
        <v>6.0</v>
      </c>
      <c r="C9" s="44" t="s">
        <v>206</v>
      </c>
      <c r="D9" s="45">
        <v>12.0</v>
      </c>
      <c r="E9" s="46" t="s">
        <v>202</v>
      </c>
      <c r="F9" s="47">
        <v>1.0</v>
      </c>
      <c r="G9" s="47">
        <v>2.0</v>
      </c>
      <c r="H9" s="48">
        <v>3.0</v>
      </c>
      <c r="I9" s="49">
        <v>2.0</v>
      </c>
      <c r="J9" s="49">
        <v>3.0</v>
      </c>
      <c r="K9" s="49">
        <v>4.0</v>
      </c>
      <c r="L9" s="50">
        <v>3.0</v>
      </c>
      <c r="M9" s="47">
        <v>4.0</v>
      </c>
      <c r="N9" s="47">
        <v>3.0</v>
      </c>
      <c r="O9" s="47">
        <v>5.0</v>
      </c>
      <c r="P9" s="37"/>
      <c r="Q9" s="42">
        <f t="shared" si="1"/>
        <v>0</v>
      </c>
      <c r="R9" s="42">
        <f t="shared" si="2"/>
        <v>3</v>
      </c>
      <c r="S9" s="42">
        <f t="shared" si="3"/>
        <v>2</v>
      </c>
      <c r="T9" s="42">
        <f t="shared" si="4"/>
        <v>3</v>
      </c>
      <c r="U9" s="42">
        <f t="shared" si="5"/>
        <v>2</v>
      </c>
      <c r="V9" s="42">
        <f t="shared" si="6"/>
        <v>1</v>
      </c>
      <c r="W9" s="42">
        <f t="shared" si="7"/>
        <v>2</v>
      </c>
      <c r="X9" s="42">
        <f t="shared" si="8"/>
        <v>1</v>
      </c>
      <c r="Y9" s="42">
        <f t="shared" si="9"/>
        <v>2</v>
      </c>
      <c r="Z9" s="42">
        <f t="shared" si="10"/>
        <v>0</v>
      </c>
      <c r="AA9" s="52">
        <f t="shared" si="11"/>
        <v>16</v>
      </c>
      <c r="AB9" s="53">
        <f t="shared" si="12"/>
        <v>40</v>
      </c>
    </row>
    <row r="10">
      <c r="B10" s="43">
        <v>7.0</v>
      </c>
      <c r="C10" s="44" t="s">
        <v>207</v>
      </c>
      <c r="D10" s="45">
        <v>12.0</v>
      </c>
      <c r="E10" s="46" t="s">
        <v>200</v>
      </c>
      <c r="F10" s="47">
        <v>2.0</v>
      </c>
      <c r="G10" s="47">
        <v>2.0</v>
      </c>
      <c r="H10" s="48">
        <v>3.0</v>
      </c>
      <c r="I10" s="49">
        <v>2.0</v>
      </c>
      <c r="J10" s="49">
        <v>4.0</v>
      </c>
      <c r="K10" s="49">
        <v>3.0</v>
      </c>
      <c r="L10" s="50">
        <v>4.0</v>
      </c>
      <c r="M10" s="47">
        <v>3.0</v>
      </c>
      <c r="N10" s="47">
        <v>3.0</v>
      </c>
      <c r="O10" s="47">
        <v>2.0</v>
      </c>
      <c r="P10" s="37"/>
      <c r="Q10" s="42">
        <f t="shared" si="1"/>
        <v>1</v>
      </c>
      <c r="R10" s="42">
        <f t="shared" si="2"/>
        <v>3</v>
      </c>
      <c r="S10" s="42">
        <f t="shared" si="3"/>
        <v>2</v>
      </c>
      <c r="T10" s="42">
        <f t="shared" si="4"/>
        <v>3</v>
      </c>
      <c r="U10" s="42">
        <f t="shared" si="5"/>
        <v>3</v>
      </c>
      <c r="V10" s="42">
        <f t="shared" si="6"/>
        <v>2</v>
      </c>
      <c r="W10" s="42">
        <f t="shared" si="7"/>
        <v>3</v>
      </c>
      <c r="X10" s="42">
        <f t="shared" si="8"/>
        <v>2</v>
      </c>
      <c r="Y10" s="42">
        <f t="shared" si="9"/>
        <v>2</v>
      </c>
      <c r="Z10" s="42">
        <f t="shared" si="10"/>
        <v>3</v>
      </c>
      <c r="AA10" s="52">
        <f t="shared" si="11"/>
        <v>24</v>
      </c>
      <c r="AB10" s="53">
        <f t="shared" si="12"/>
        <v>60</v>
      </c>
    </row>
    <row r="11">
      <c r="B11" s="43">
        <v>8.0</v>
      </c>
      <c r="C11" s="44" t="s">
        <v>208</v>
      </c>
      <c r="D11" s="45">
        <v>12.0</v>
      </c>
      <c r="E11" s="46" t="s">
        <v>200</v>
      </c>
      <c r="F11" s="47">
        <v>4.0</v>
      </c>
      <c r="G11" s="47">
        <v>1.0</v>
      </c>
      <c r="H11" s="48">
        <v>5.0</v>
      </c>
      <c r="I11" s="49">
        <v>1.0</v>
      </c>
      <c r="J11" s="49">
        <v>5.0</v>
      </c>
      <c r="K11" s="49">
        <v>2.0</v>
      </c>
      <c r="L11" s="50">
        <v>5.0</v>
      </c>
      <c r="M11" s="47">
        <v>4.0</v>
      </c>
      <c r="N11" s="47">
        <v>4.0</v>
      </c>
      <c r="O11" s="47">
        <v>4.0</v>
      </c>
      <c r="P11" s="37"/>
      <c r="Q11" s="42">
        <f t="shared" si="1"/>
        <v>3</v>
      </c>
      <c r="R11" s="42">
        <f t="shared" si="2"/>
        <v>4</v>
      </c>
      <c r="S11" s="42">
        <f t="shared" si="3"/>
        <v>4</v>
      </c>
      <c r="T11" s="42">
        <f t="shared" si="4"/>
        <v>4</v>
      </c>
      <c r="U11" s="42">
        <f t="shared" si="5"/>
        <v>4</v>
      </c>
      <c r="V11" s="42">
        <f t="shared" si="6"/>
        <v>3</v>
      </c>
      <c r="W11" s="42">
        <f t="shared" si="7"/>
        <v>4</v>
      </c>
      <c r="X11" s="42">
        <f t="shared" si="8"/>
        <v>1</v>
      </c>
      <c r="Y11" s="42">
        <f t="shared" si="9"/>
        <v>3</v>
      </c>
      <c r="Z11" s="42">
        <f t="shared" si="10"/>
        <v>1</v>
      </c>
      <c r="AA11" s="52">
        <f t="shared" si="11"/>
        <v>31</v>
      </c>
      <c r="AB11" s="53">
        <f t="shared" si="12"/>
        <v>77.5</v>
      </c>
    </row>
    <row r="12">
      <c r="B12" s="43">
        <v>9.0</v>
      </c>
      <c r="C12" s="44" t="s">
        <v>209</v>
      </c>
      <c r="D12" s="45">
        <v>12.0</v>
      </c>
      <c r="E12" s="46" t="s">
        <v>200</v>
      </c>
      <c r="F12" s="47">
        <v>2.0</v>
      </c>
      <c r="G12" s="47">
        <v>1.0</v>
      </c>
      <c r="H12" s="48">
        <v>4.0</v>
      </c>
      <c r="I12" s="49">
        <v>1.0</v>
      </c>
      <c r="J12" s="49">
        <v>5.0</v>
      </c>
      <c r="K12" s="49">
        <v>3.0</v>
      </c>
      <c r="L12" s="50">
        <v>4.0</v>
      </c>
      <c r="M12" s="47">
        <v>4.0</v>
      </c>
      <c r="N12" s="47">
        <v>5.0</v>
      </c>
      <c r="O12" s="47">
        <v>5.0</v>
      </c>
      <c r="P12" s="37"/>
      <c r="Q12" s="42">
        <f t="shared" si="1"/>
        <v>1</v>
      </c>
      <c r="R12" s="42">
        <f t="shared" si="2"/>
        <v>4</v>
      </c>
      <c r="S12" s="42">
        <f t="shared" si="3"/>
        <v>3</v>
      </c>
      <c r="T12" s="42">
        <f t="shared" si="4"/>
        <v>4</v>
      </c>
      <c r="U12" s="42">
        <f t="shared" si="5"/>
        <v>4</v>
      </c>
      <c r="V12" s="42">
        <f t="shared" si="6"/>
        <v>2</v>
      </c>
      <c r="W12" s="42">
        <f t="shared" si="7"/>
        <v>3</v>
      </c>
      <c r="X12" s="42">
        <f t="shared" si="8"/>
        <v>1</v>
      </c>
      <c r="Y12" s="42">
        <f t="shared" si="9"/>
        <v>4</v>
      </c>
      <c r="Z12" s="42">
        <f t="shared" si="10"/>
        <v>0</v>
      </c>
      <c r="AA12" s="52">
        <f t="shared" si="11"/>
        <v>26</v>
      </c>
      <c r="AB12" s="53">
        <f t="shared" si="12"/>
        <v>65</v>
      </c>
    </row>
    <row r="13">
      <c r="B13" s="43">
        <v>10.0</v>
      </c>
      <c r="C13" s="44" t="s">
        <v>210</v>
      </c>
      <c r="D13" s="45">
        <v>12.0</v>
      </c>
      <c r="E13" s="46" t="s">
        <v>202</v>
      </c>
      <c r="F13" s="47">
        <v>3.0</v>
      </c>
      <c r="G13" s="47">
        <v>2.0</v>
      </c>
      <c r="H13" s="48">
        <v>5.0</v>
      </c>
      <c r="I13" s="49">
        <v>2.0</v>
      </c>
      <c r="J13" s="49">
        <v>5.0</v>
      </c>
      <c r="K13" s="49">
        <v>2.0</v>
      </c>
      <c r="L13" s="50">
        <v>5.0</v>
      </c>
      <c r="M13" s="47">
        <v>4.0</v>
      </c>
      <c r="N13" s="47">
        <v>5.0</v>
      </c>
      <c r="O13" s="47">
        <v>4.0</v>
      </c>
      <c r="P13" s="37"/>
      <c r="Q13" s="42">
        <f t="shared" si="1"/>
        <v>2</v>
      </c>
      <c r="R13" s="42">
        <f t="shared" si="2"/>
        <v>3</v>
      </c>
      <c r="S13" s="42">
        <f t="shared" si="3"/>
        <v>4</v>
      </c>
      <c r="T13" s="42">
        <f t="shared" si="4"/>
        <v>3</v>
      </c>
      <c r="U13" s="42">
        <f t="shared" si="5"/>
        <v>4</v>
      </c>
      <c r="V13" s="42">
        <f t="shared" si="6"/>
        <v>3</v>
      </c>
      <c r="W13" s="42">
        <f t="shared" si="7"/>
        <v>4</v>
      </c>
      <c r="X13" s="42">
        <f t="shared" si="8"/>
        <v>1</v>
      </c>
      <c r="Y13" s="42">
        <f t="shared" si="9"/>
        <v>4</v>
      </c>
      <c r="Z13" s="42">
        <f t="shared" si="10"/>
        <v>1</v>
      </c>
      <c r="AA13" s="52">
        <f t="shared" si="11"/>
        <v>29</v>
      </c>
      <c r="AB13" s="53">
        <f t="shared" si="12"/>
        <v>72.5</v>
      </c>
    </row>
    <row r="14">
      <c r="B14" s="43">
        <v>11.0</v>
      </c>
      <c r="C14" s="44" t="s">
        <v>211</v>
      </c>
      <c r="D14" s="45">
        <v>12.0</v>
      </c>
      <c r="E14" s="46" t="s">
        <v>202</v>
      </c>
      <c r="F14" s="47">
        <v>3.0</v>
      </c>
      <c r="G14" s="47">
        <v>2.0</v>
      </c>
      <c r="H14" s="48">
        <v>4.0</v>
      </c>
      <c r="I14" s="49">
        <v>3.0</v>
      </c>
      <c r="J14" s="49">
        <v>4.0</v>
      </c>
      <c r="K14" s="49">
        <v>3.0</v>
      </c>
      <c r="L14" s="50">
        <v>4.0</v>
      </c>
      <c r="M14" s="47">
        <v>5.0</v>
      </c>
      <c r="N14" s="47">
        <v>4.0</v>
      </c>
      <c r="O14" s="47">
        <v>4.0</v>
      </c>
      <c r="P14" s="37"/>
      <c r="Q14" s="42">
        <f t="shared" si="1"/>
        <v>2</v>
      </c>
      <c r="R14" s="42">
        <f t="shared" si="2"/>
        <v>3</v>
      </c>
      <c r="S14" s="42">
        <f t="shared" si="3"/>
        <v>3</v>
      </c>
      <c r="T14" s="42">
        <f t="shared" si="4"/>
        <v>2</v>
      </c>
      <c r="U14" s="42">
        <f t="shared" si="5"/>
        <v>3</v>
      </c>
      <c r="V14" s="42">
        <f t="shared" si="6"/>
        <v>2</v>
      </c>
      <c r="W14" s="42">
        <f t="shared" si="7"/>
        <v>3</v>
      </c>
      <c r="X14" s="42">
        <f t="shared" si="8"/>
        <v>0</v>
      </c>
      <c r="Y14" s="42">
        <f t="shared" si="9"/>
        <v>3</v>
      </c>
      <c r="Z14" s="42">
        <f t="shared" si="10"/>
        <v>1</v>
      </c>
      <c r="AA14" s="52">
        <f t="shared" si="11"/>
        <v>22</v>
      </c>
      <c r="AB14" s="53">
        <f t="shared" si="12"/>
        <v>55</v>
      </c>
    </row>
    <row r="15">
      <c r="B15" s="43">
        <v>12.0</v>
      </c>
      <c r="C15" s="44" t="s">
        <v>212</v>
      </c>
      <c r="D15" s="45">
        <v>12.0</v>
      </c>
      <c r="E15" s="46" t="s">
        <v>202</v>
      </c>
      <c r="F15" s="47">
        <v>3.0</v>
      </c>
      <c r="G15" s="47">
        <v>2.0</v>
      </c>
      <c r="H15" s="48">
        <v>5.0</v>
      </c>
      <c r="I15" s="49">
        <v>1.0</v>
      </c>
      <c r="J15" s="49">
        <v>4.0</v>
      </c>
      <c r="K15" s="49">
        <v>2.0</v>
      </c>
      <c r="L15" s="50">
        <v>4.0</v>
      </c>
      <c r="M15" s="47">
        <v>5.0</v>
      </c>
      <c r="N15" s="47">
        <v>4.0</v>
      </c>
      <c r="O15" s="47">
        <v>4.0</v>
      </c>
      <c r="P15" s="37"/>
      <c r="Q15" s="42">
        <f t="shared" si="1"/>
        <v>2</v>
      </c>
      <c r="R15" s="42">
        <f t="shared" si="2"/>
        <v>3</v>
      </c>
      <c r="S15" s="42">
        <f t="shared" si="3"/>
        <v>4</v>
      </c>
      <c r="T15" s="42">
        <f t="shared" si="4"/>
        <v>4</v>
      </c>
      <c r="U15" s="42">
        <f t="shared" si="5"/>
        <v>3</v>
      </c>
      <c r="V15" s="42">
        <f t="shared" si="6"/>
        <v>3</v>
      </c>
      <c r="W15" s="42">
        <f t="shared" si="7"/>
        <v>3</v>
      </c>
      <c r="X15" s="42">
        <f t="shared" si="8"/>
        <v>0</v>
      </c>
      <c r="Y15" s="42">
        <f t="shared" si="9"/>
        <v>3</v>
      </c>
      <c r="Z15" s="42">
        <f t="shared" si="10"/>
        <v>1</v>
      </c>
      <c r="AA15" s="52">
        <f t="shared" si="11"/>
        <v>26</v>
      </c>
      <c r="AB15" s="53">
        <f t="shared" si="12"/>
        <v>65</v>
      </c>
    </row>
    <row r="16">
      <c r="B16" s="43">
        <v>13.0</v>
      </c>
      <c r="C16" s="44" t="s">
        <v>213</v>
      </c>
      <c r="D16" s="45">
        <v>12.0</v>
      </c>
      <c r="E16" s="46" t="s">
        <v>202</v>
      </c>
      <c r="F16" s="47">
        <v>3.0</v>
      </c>
      <c r="G16" s="47">
        <v>2.0</v>
      </c>
      <c r="H16" s="48">
        <v>2.0</v>
      </c>
      <c r="I16" s="49">
        <v>2.0</v>
      </c>
      <c r="J16" s="49">
        <v>3.0</v>
      </c>
      <c r="K16" s="49">
        <v>2.0</v>
      </c>
      <c r="L16" s="50">
        <v>3.0</v>
      </c>
      <c r="M16" s="47">
        <v>3.0</v>
      </c>
      <c r="N16" s="47">
        <v>2.0</v>
      </c>
      <c r="O16" s="47">
        <v>2.0</v>
      </c>
      <c r="P16" s="37"/>
      <c r="Q16" s="42">
        <f t="shared" si="1"/>
        <v>2</v>
      </c>
      <c r="R16" s="42">
        <f t="shared" si="2"/>
        <v>3</v>
      </c>
      <c r="S16" s="42">
        <f t="shared" si="3"/>
        <v>1</v>
      </c>
      <c r="T16" s="42">
        <f t="shared" si="4"/>
        <v>3</v>
      </c>
      <c r="U16" s="42">
        <f t="shared" si="5"/>
        <v>2</v>
      </c>
      <c r="V16" s="42">
        <f t="shared" si="6"/>
        <v>3</v>
      </c>
      <c r="W16" s="42">
        <f t="shared" si="7"/>
        <v>2</v>
      </c>
      <c r="X16" s="42">
        <f t="shared" si="8"/>
        <v>2</v>
      </c>
      <c r="Y16" s="42">
        <f t="shared" si="9"/>
        <v>1</v>
      </c>
      <c r="Z16" s="42">
        <f t="shared" si="10"/>
        <v>3</v>
      </c>
      <c r="AA16" s="52">
        <f t="shared" si="11"/>
        <v>22</v>
      </c>
      <c r="AB16" s="53">
        <f t="shared" si="12"/>
        <v>55</v>
      </c>
    </row>
    <row r="17">
      <c r="B17" s="43">
        <v>14.0</v>
      </c>
      <c r="C17" s="44" t="s">
        <v>214</v>
      </c>
      <c r="D17" s="45">
        <v>12.0</v>
      </c>
      <c r="E17" s="46" t="s">
        <v>202</v>
      </c>
      <c r="F17" s="47">
        <v>3.0</v>
      </c>
      <c r="G17" s="47">
        <v>2.0</v>
      </c>
      <c r="H17" s="48">
        <v>4.0</v>
      </c>
      <c r="I17" s="49">
        <v>2.0</v>
      </c>
      <c r="J17" s="49">
        <v>4.0</v>
      </c>
      <c r="K17" s="49">
        <v>2.0</v>
      </c>
      <c r="L17" s="50">
        <v>2.0</v>
      </c>
      <c r="M17" s="47">
        <v>4.0</v>
      </c>
      <c r="N17" s="47">
        <v>4.0</v>
      </c>
      <c r="O17" s="47">
        <v>4.0</v>
      </c>
      <c r="P17" s="37"/>
      <c r="Q17" s="42">
        <f t="shared" si="1"/>
        <v>2</v>
      </c>
      <c r="R17" s="42">
        <f t="shared" si="2"/>
        <v>3</v>
      </c>
      <c r="S17" s="42">
        <f t="shared" si="3"/>
        <v>3</v>
      </c>
      <c r="T17" s="42">
        <f t="shared" si="4"/>
        <v>3</v>
      </c>
      <c r="U17" s="42">
        <f t="shared" si="5"/>
        <v>3</v>
      </c>
      <c r="V17" s="42">
        <f t="shared" si="6"/>
        <v>3</v>
      </c>
      <c r="W17" s="42">
        <f t="shared" si="7"/>
        <v>1</v>
      </c>
      <c r="X17" s="42">
        <f t="shared" si="8"/>
        <v>1</v>
      </c>
      <c r="Y17" s="42">
        <f t="shared" si="9"/>
        <v>3</v>
      </c>
      <c r="Z17" s="42">
        <f t="shared" si="10"/>
        <v>1</v>
      </c>
      <c r="AA17" s="52">
        <f t="shared" si="11"/>
        <v>23</v>
      </c>
      <c r="AB17" s="53">
        <f t="shared" si="12"/>
        <v>57.5</v>
      </c>
    </row>
    <row r="18">
      <c r="B18" s="43">
        <v>15.0</v>
      </c>
      <c r="C18" s="44" t="s">
        <v>215</v>
      </c>
      <c r="D18" s="45">
        <v>12.0</v>
      </c>
      <c r="E18" s="46" t="s">
        <v>202</v>
      </c>
      <c r="F18" s="47">
        <v>1.0</v>
      </c>
      <c r="G18" s="47">
        <v>1.0</v>
      </c>
      <c r="H18" s="48">
        <v>5.0</v>
      </c>
      <c r="I18" s="49">
        <v>3.0</v>
      </c>
      <c r="J18" s="49">
        <v>4.0</v>
      </c>
      <c r="K18" s="49">
        <v>2.0</v>
      </c>
      <c r="L18" s="50">
        <v>4.0</v>
      </c>
      <c r="M18" s="47">
        <v>5.0</v>
      </c>
      <c r="N18" s="47">
        <v>5.0</v>
      </c>
      <c r="O18" s="47">
        <v>5.0</v>
      </c>
      <c r="P18" s="37"/>
      <c r="Q18" s="42">
        <f t="shared" si="1"/>
        <v>0</v>
      </c>
      <c r="R18" s="42">
        <f t="shared" si="2"/>
        <v>4</v>
      </c>
      <c r="S18" s="42">
        <f t="shared" si="3"/>
        <v>4</v>
      </c>
      <c r="T18" s="42">
        <f t="shared" si="4"/>
        <v>2</v>
      </c>
      <c r="U18" s="42">
        <f t="shared" si="5"/>
        <v>3</v>
      </c>
      <c r="V18" s="42">
        <f t="shared" si="6"/>
        <v>3</v>
      </c>
      <c r="W18" s="42">
        <f t="shared" si="7"/>
        <v>3</v>
      </c>
      <c r="X18" s="42">
        <f t="shared" si="8"/>
        <v>0</v>
      </c>
      <c r="Y18" s="42">
        <f t="shared" si="9"/>
        <v>4</v>
      </c>
      <c r="Z18" s="42">
        <f t="shared" si="10"/>
        <v>0</v>
      </c>
      <c r="AA18" s="52">
        <f t="shared" si="11"/>
        <v>23</v>
      </c>
      <c r="AB18" s="53">
        <f t="shared" si="12"/>
        <v>57.5</v>
      </c>
    </row>
    <row r="19">
      <c r="B19" s="43">
        <v>16.0</v>
      </c>
      <c r="C19" s="44" t="s">
        <v>216</v>
      </c>
      <c r="D19" s="45">
        <v>12.0</v>
      </c>
      <c r="E19" s="46" t="s">
        <v>200</v>
      </c>
      <c r="F19" s="47">
        <v>3.0</v>
      </c>
      <c r="G19" s="47">
        <v>2.0</v>
      </c>
      <c r="H19" s="48">
        <v>4.0</v>
      </c>
      <c r="I19" s="49">
        <v>4.0</v>
      </c>
      <c r="J19" s="49">
        <v>3.0</v>
      </c>
      <c r="K19" s="49">
        <v>2.0</v>
      </c>
      <c r="L19" s="50">
        <v>4.0</v>
      </c>
      <c r="M19" s="47">
        <v>5.0</v>
      </c>
      <c r="N19" s="47">
        <v>2.0</v>
      </c>
      <c r="O19" s="47">
        <v>2.0</v>
      </c>
      <c r="P19" s="37"/>
      <c r="Q19" s="42">
        <f t="shared" si="1"/>
        <v>2</v>
      </c>
      <c r="R19" s="42">
        <f t="shared" si="2"/>
        <v>3</v>
      </c>
      <c r="S19" s="42">
        <f t="shared" si="3"/>
        <v>3</v>
      </c>
      <c r="T19" s="42">
        <f t="shared" si="4"/>
        <v>1</v>
      </c>
      <c r="U19" s="42">
        <f t="shared" si="5"/>
        <v>2</v>
      </c>
      <c r="V19" s="42">
        <f t="shared" si="6"/>
        <v>3</v>
      </c>
      <c r="W19" s="42">
        <f t="shared" si="7"/>
        <v>3</v>
      </c>
      <c r="X19" s="42">
        <f t="shared" si="8"/>
        <v>0</v>
      </c>
      <c r="Y19" s="42">
        <f t="shared" si="9"/>
        <v>1</v>
      </c>
      <c r="Z19" s="42">
        <f t="shared" si="10"/>
        <v>3</v>
      </c>
      <c r="AA19" s="52">
        <f t="shared" si="11"/>
        <v>21</v>
      </c>
      <c r="AB19" s="53">
        <f t="shared" si="12"/>
        <v>52.5</v>
      </c>
    </row>
    <row r="20">
      <c r="B20" s="43">
        <v>17.0</v>
      </c>
      <c r="C20" s="44" t="s">
        <v>217</v>
      </c>
      <c r="D20" s="45">
        <v>12.0</v>
      </c>
      <c r="E20" s="46" t="s">
        <v>200</v>
      </c>
      <c r="F20" s="47">
        <v>3.0</v>
      </c>
      <c r="G20" s="47">
        <v>1.0</v>
      </c>
      <c r="H20" s="48">
        <v>4.0</v>
      </c>
      <c r="I20" s="49">
        <v>1.0</v>
      </c>
      <c r="J20" s="49">
        <v>5.0</v>
      </c>
      <c r="K20" s="49">
        <v>4.0</v>
      </c>
      <c r="L20" s="50">
        <v>3.0</v>
      </c>
      <c r="M20" s="47">
        <v>4.0</v>
      </c>
      <c r="N20" s="47">
        <v>5.0</v>
      </c>
      <c r="O20" s="47">
        <v>4.0</v>
      </c>
      <c r="P20" s="37"/>
      <c r="Q20" s="42">
        <f t="shared" si="1"/>
        <v>2</v>
      </c>
      <c r="R20" s="42">
        <f t="shared" si="2"/>
        <v>4</v>
      </c>
      <c r="S20" s="42">
        <f t="shared" si="3"/>
        <v>3</v>
      </c>
      <c r="T20" s="42">
        <f t="shared" si="4"/>
        <v>4</v>
      </c>
      <c r="U20" s="42">
        <f t="shared" si="5"/>
        <v>4</v>
      </c>
      <c r="V20" s="42">
        <f t="shared" si="6"/>
        <v>1</v>
      </c>
      <c r="W20" s="42">
        <f t="shared" si="7"/>
        <v>2</v>
      </c>
      <c r="X20" s="42">
        <f t="shared" si="8"/>
        <v>1</v>
      </c>
      <c r="Y20" s="42">
        <f t="shared" si="9"/>
        <v>4</v>
      </c>
      <c r="Z20" s="42">
        <f t="shared" si="10"/>
        <v>1</v>
      </c>
      <c r="AA20" s="52">
        <f t="shared" si="11"/>
        <v>26</v>
      </c>
      <c r="AB20" s="53">
        <f t="shared" si="12"/>
        <v>65</v>
      </c>
    </row>
    <row r="21" ht="15.75" customHeight="1">
      <c r="B21" s="43">
        <v>18.0</v>
      </c>
      <c r="C21" s="44" t="s">
        <v>218</v>
      </c>
      <c r="D21" s="45">
        <v>12.0</v>
      </c>
      <c r="E21" s="46" t="s">
        <v>202</v>
      </c>
      <c r="F21" s="47">
        <v>1.0</v>
      </c>
      <c r="G21" s="47">
        <v>1.0</v>
      </c>
      <c r="H21" s="48">
        <v>5.0</v>
      </c>
      <c r="I21" s="49">
        <v>1.0</v>
      </c>
      <c r="J21" s="49">
        <v>5.0</v>
      </c>
      <c r="K21" s="49">
        <v>1.0</v>
      </c>
      <c r="L21" s="50">
        <v>5.0</v>
      </c>
      <c r="M21" s="47">
        <v>5.0</v>
      </c>
      <c r="N21" s="47">
        <v>5.0</v>
      </c>
      <c r="O21" s="47">
        <v>5.0</v>
      </c>
      <c r="P21" s="37"/>
      <c r="Q21" s="42">
        <f t="shared" si="1"/>
        <v>0</v>
      </c>
      <c r="R21" s="42">
        <f t="shared" si="2"/>
        <v>4</v>
      </c>
      <c r="S21" s="42">
        <f t="shared" si="3"/>
        <v>4</v>
      </c>
      <c r="T21" s="42">
        <f t="shared" si="4"/>
        <v>4</v>
      </c>
      <c r="U21" s="42">
        <f t="shared" si="5"/>
        <v>4</v>
      </c>
      <c r="V21" s="42">
        <f t="shared" si="6"/>
        <v>4</v>
      </c>
      <c r="W21" s="42">
        <f t="shared" si="7"/>
        <v>4</v>
      </c>
      <c r="X21" s="42">
        <f t="shared" si="8"/>
        <v>0</v>
      </c>
      <c r="Y21" s="42">
        <f t="shared" si="9"/>
        <v>4</v>
      </c>
      <c r="Z21" s="42">
        <f t="shared" si="10"/>
        <v>0</v>
      </c>
      <c r="AA21" s="52">
        <f t="shared" si="11"/>
        <v>28</v>
      </c>
      <c r="AB21" s="53">
        <f t="shared" si="12"/>
        <v>70</v>
      </c>
    </row>
    <row r="22" ht="15.75" customHeight="1">
      <c r="B22" s="43">
        <v>19.0</v>
      </c>
      <c r="C22" s="44" t="s">
        <v>219</v>
      </c>
      <c r="D22" s="45">
        <v>12.0</v>
      </c>
      <c r="E22" s="46" t="s">
        <v>200</v>
      </c>
      <c r="F22" s="47">
        <v>3.0</v>
      </c>
      <c r="G22" s="47">
        <v>1.0</v>
      </c>
      <c r="H22" s="48">
        <v>5.0</v>
      </c>
      <c r="I22" s="49">
        <v>2.0</v>
      </c>
      <c r="J22" s="49">
        <v>4.0</v>
      </c>
      <c r="K22" s="49">
        <v>1.0</v>
      </c>
      <c r="L22" s="50">
        <v>5.0</v>
      </c>
      <c r="M22" s="47">
        <v>5.0</v>
      </c>
      <c r="N22" s="47">
        <v>4.0</v>
      </c>
      <c r="O22" s="47">
        <v>4.0</v>
      </c>
      <c r="P22" s="37"/>
      <c r="Q22" s="42">
        <f t="shared" si="1"/>
        <v>2</v>
      </c>
      <c r="R22" s="42">
        <f t="shared" si="2"/>
        <v>4</v>
      </c>
      <c r="S22" s="42">
        <f t="shared" si="3"/>
        <v>4</v>
      </c>
      <c r="T22" s="42">
        <f t="shared" si="4"/>
        <v>3</v>
      </c>
      <c r="U22" s="42">
        <f t="shared" si="5"/>
        <v>3</v>
      </c>
      <c r="V22" s="42">
        <f t="shared" si="6"/>
        <v>4</v>
      </c>
      <c r="W22" s="42">
        <f t="shared" si="7"/>
        <v>4</v>
      </c>
      <c r="X22" s="42">
        <f t="shared" si="8"/>
        <v>0</v>
      </c>
      <c r="Y22" s="42">
        <f t="shared" si="9"/>
        <v>3</v>
      </c>
      <c r="Z22" s="42">
        <f t="shared" si="10"/>
        <v>1</v>
      </c>
      <c r="AA22" s="52">
        <f t="shared" si="11"/>
        <v>28</v>
      </c>
      <c r="AB22" s="53">
        <f t="shared" si="12"/>
        <v>70</v>
      </c>
    </row>
    <row r="23" ht="15.75" customHeight="1">
      <c r="B23" s="43">
        <v>20.0</v>
      </c>
      <c r="C23" s="44" t="s">
        <v>220</v>
      </c>
      <c r="D23" s="45">
        <v>12.0</v>
      </c>
      <c r="E23" s="46" t="s">
        <v>202</v>
      </c>
      <c r="F23" s="47">
        <v>3.0</v>
      </c>
      <c r="G23" s="47">
        <v>2.0</v>
      </c>
      <c r="H23" s="48">
        <v>4.0</v>
      </c>
      <c r="I23" s="49">
        <v>1.0</v>
      </c>
      <c r="J23" s="49">
        <v>3.0</v>
      </c>
      <c r="K23" s="49">
        <v>3.0</v>
      </c>
      <c r="L23" s="50">
        <v>5.0</v>
      </c>
      <c r="M23" s="47">
        <v>4.0</v>
      </c>
      <c r="N23" s="47">
        <v>4.0</v>
      </c>
      <c r="O23" s="47">
        <v>5.0</v>
      </c>
      <c r="P23" s="37"/>
      <c r="Q23" s="42">
        <f t="shared" si="1"/>
        <v>2</v>
      </c>
      <c r="R23" s="42">
        <f t="shared" si="2"/>
        <v>3</v>
      </c>
      <c r="S23" s="42">
        <f t="shared" si="3"/>
        <v>3</v>
      </c>
      <c r="T23" s="42">
        <f t="shared" si="4"/>
        <v>4</v>
      </c>
      <c r="U23" s="42">
        <f t="shared" si="5"/>
        <v>2</v>
      </c>
      <c r="V23" s="42">
        <f t="shared" si="6"/>
        <v>2</v>
      </c>
      <c r="W23" s="42">
        <f t="shared" si="7"/>
        <v>4</v>
      </c>
      <c r="X23" s="42">
        <f t="shared" si="8"/>
        <v>1</v>
      </c>
      <c r="Y23" s="42">
        <f t="shared" si="9"/>
        <v>3</v>
      </c>
      <c r="Z23" s="42">
        <f t="shared" si="10"/>
        <v>0</v>
      </c>
      <c r="AA23" s="52">
        <f t="shared" si="11"/>
        <v>24</v>
      </c>
      <c r="AB23" s="53">
        <f t="shared" si="12"/>
        <v>60</v>
      </c>
    </row>
    <row r="24" ht="15.75" customHeight="1">
      <c r="B24" s="43">
        <v>21.0</v>
      </c>
      <c r="C24" s="44" t="s">
        <v>221</v>
      </c>
      <c r="D24" s="45">
        <v>12.0</v>
      </c>
      <c r="E24" s="46" t="s">
        <v>202</v>
      </c>
      <c r="F24" s="47">
        <v>3.0</v>
      </c>
      <c r="G24" s="47">
        <v>2.0</v>
      </c>
      <c r="H24" s="48">
        <v>5.0</v>
      </c>
      <c r="I24" s="49">
        <v>2.0</v>
      </c>
      <c r="J24" s="49">
        <v>5.0</v>
      </c>
      <c r="K24" s="49">
        <v>2.0</v>
      </c>
      <c r="L24" s="50">
        <v>5.0</v>
      </c>
      <c r="M24" s="47">
        <v>4.0</v>
      </c>
      <c r="N24" s="47">
        <v>5.0</v>
      </c>
      <c r="O24" s="47">
        <v>4.0</v>
      </c>
      <c r="P24" s="37"/>
      <c r="Q24" s="42">
        <f t="shared" si="1"/>
        <v>2</v>
      </c>
      <c r="R24" s="42">
        <f t="shared" si="2"/>
        <v>3</v>
      </c>
      <c r="S24" s="42">
        <f t="shared" si="3"/>
        <v>4</v>
      </c>
      <c r="T24" s="42">
        <f t="shared" si="4"/>
        <v>3</v>
      </c>
      <c r="U24" s="42">
        <f t="shared" si="5"/>
        <v>4</v>
      </c>
      <c r="V24" s="42">
        <f t="shared" si="6"/>
        <v>3</v>
      </c>
      <c r="W24" s="42">
        <f t="shared" si="7"/>
        <v>4</v>
      </c>
      <c r="X24" s="42">
        <f t="shared" si="8"/>
        <v>1</v>
      </c>
      <c r="Y24" s="42">
        <f t="shared" si="9"/>
        <v>4</v>
      </c>
      <c r="Z24" s="42">
        <f t="shared" si="10"/>
        <v>1</v>
      </c>
      <c r="AA24" s="52">
        <f t="shared" si="11"/>
        <v>29</v>
      </c>
      <c r="AB24" s="53">
        <f t="shared" si="12"/>
        <v>72.5</v>
      </c>
    </row>
    <row r="25" ht="15.75" customHeight="1">
      <c r="B25" s="43">
        <v>22.0</v>
      </c>
      <c r="C25" s="44" t="s">
        <v>222</v>
      </c>
      <c r="D25" s="45">
        <v>12.0</v>
      </c>
      <c r="E25" s="46" t="s">
        <v>200</v>
      </c>
      <c r="F25" s="47">
        <v>5.0</v>
      </c>
      <c r="G25" s="47">
        <v>1.0</v>
      </c>
      <c r="H25" s="48">
        <v>1.0</v>
      </c>
      <c r="I25" s="49">
        <v>5.0</v>
      </c>
      <c r="J25" s="49">
        <v>4.0</v>
      </c>
      <c r="K25" s="49">
        <v>1.0</v>
      </c>
      <c r="L25" s="50">
        <v>3.0</v>
      </c>
      <c r="M25" s="47">
        <v>5.0</v>
      </c>
      <c r="N25" s="47">
        <v>1.0</v>
      </c>
      <c r="O25" s="47">
        <v>3.0</v>
      </c>
      <c r="P25" s="37"/>
      <c r="Q25" s="42">
        <f t="shared" si="1"/>
        <v>4</v>
      </c>
      <c r="R25" s="42">
        <f t="shared" si="2"/>
        <v>4</v>
      </c>
      <c r="S25" s="42">
        <f t="shared" si="3"/>
        <v>0</v>
      </c>
      <c r="T25" s="42">
        <f t="shared" si="4"/>
        <v>0</v>
      </c>
      <c r="U25" s="42">
        <f t="shared" si="5"/>
        <v>3</v>
      </c>
      <c r="V25" s="42">
        <f t="shared" si="6"/>
        <v>4</v>
      </c>
      <c r="W25" s="42">
        <f t="shared" si="7"/>
        <v>2</v>
      </c>
      <c r="X25" s="42">
        <f t="shared" si="8"/>
        <v>0</v>
      </c>
      <c r="Y25" s="42">
        <f t="shared" si="9"/>
        <v>0</v>
      </c>
      <c r="Z25" s="42">
        <f t="shared" si="10"/>
        <v>2</v>
      </c>
      <c r="AA25" s="52">
        <f t="shared" si="11"/>
        <v>19</v>
      </c>
      <c r="AB25" s="53">
        <f t="shared" si="12"/>
        <v>47.5</v>
      </c>
    </row>
    <row r="26" ht="15.75" customHeight="1">
      <c r="B26" s="43">
        <v>23.0</v>
      </c>
      <c r="C26" s="44" t="s">
        <v>223</v>
      </c>
      <c r="D26" s="45">
        <v>12.0</v>
      </c>
      <c r="E26" s="46" t="s">
        <v>202</v>
      </c>
      <c r="F26" s="47">
        <v>4.0</v>
      </c>
      <c r="G26" s="47">
        <v>1.0</v>
      </c>
      <c r="H26" s="48">
        <v>5.0</v>
      </c>
      <c r="I26" s="49">
        <v>1.0</v>
      </c>
      <c r="J26" s="49">
        <v>5.0</v>
      </c>
      <c r="K26" s="49">
        <v>2.0</v>
      </c>
      <c r="L26" s="50">
        <v>5.0</v>
      </c>
      <c r="M26" s="47">
        <v>4.0</v>
      </c>
      <c r="N26" s="47">
        <v>4.0</v>
      </c>
      <c r="O26" s="47">
        <v>4.0</v>
      </c>
      <c r="P26" s="37"/>
      <c r="Q26" s="42">
        <f t="shared" si="1"/>
        <v>3</v>
      </c>
      <c r="R26" s="42">
        <f t="shared" si="2"/>
        <v>4</v>
      </c>
      <c r="S26" s="42">
        <f t="shared" si="3"/>
        <v>4</v>
      </c>
      <c r="T26" s="42">
        <f t="shared" si="4"/>
        <v>4</v>
      </c>
      <c r="U26" s="42">
        <f t="shared" si="5"/>
        <v>4</v>
      </c>
      <c r="V26" s="42">
        <f t="shared" si="6"/>
        <v>3</v>
      </c>
      <c r="W26" s="42">
        <f t="shared" si="7"/>
        <v>4</v>
      </c>
      <c r="X26" s="42">
        <f t="shared" si="8"/>
        <v>1</v>
      </c>
      <c r="Y26" s="42">
        <f t="shared" si="9"/>
        <v>3</v>
      </c>
      <c r="Z26" s="42">
        <f t="shared" si="10"/>
        <v>1</v>
      </c>
      <c r="AA26" s="52">
        <f t="shared" si="11"/>
        <v>31</v>
      </c>
      <c r="AB26" s="53">
        <f t="shared" si="12"/>
        <v>77.5</v>
      </c>
    </row>
    <row r="27" ht="15.75" customHeight="1">
      <c r="B27" s="43">
        <v>24.0</v>
      </c>
      <c r="C27" s="44" t="s">
        <v>224</v>
      </c>
      <c r="D27" s="45">
        <v>12.0</v>
      </c>
      <c r="E27" s="46" t="s">
        <v>200</v>
      </c>
      <c r="F27" s="47">
        <v>3.0</v>
      </c>
      <c r="G27" s="47">
        <v>2.0</v>
      </c>
      <c r="H27" s="48">
        <v>2.0</v>
      </c>
      <c r="I27" s="49">
        <v>2.0</v>
      </c>
      <c r="J27" s="49">
        <v>3.0</v>
      </c>
      <c r="K27" s="49">
        <v>2.0</v>
      </c>
      <c r="L27" s="50">
        <v>3.0</v>
      </c>
      <c r="M27" s="47">
        <v>3.0</v>
      </c>
      <c r="N27" s="47">
        <v>2.0</v>
      </c>
      <c r="O27" s="47">
        <v>2.0</v>
      </c>
      <c r="P27" s="37"/>
      <c r="Q27" s="42">
        <f t="shared" si="1"/>
        <v>2</v>
      </c>
      <c r="R27" s="42">
        <f t="shared" si="2"/>
        <v>3</v>
      </c>
      <c r="S27" s="42">
        <f t="shared" si="3"/>
        <v>1</v>
      </c>
      <c r="T27" s="42">
        <f t="shared" si="4"/>
        <v>3</v>
      </c>
      <c r="U27" s="42">
        <f t="shared" si="5"/>
        <v>2</v>
      </c>
      <c r="V27" s="42">
        <f t="shared" si="6"/>
        <v>3</v>
      </c>
      <c r="W27" s="42">
        <f t="shared" si="7"/>
        <v>2</v>
      </c>
      <c r="X27" s="42">
        <f t="shared" si="8"/>
        <v>2</v>
      </c>
      <c r="Y27" s="42">
        <f t="shared" si="9"/>
        <v>1</v>
      </c>
      <c r="Z27" s="42">
        <f t="shared" si="10"/>
        <v>3</v>
      </c>
      <c r="AA27" s="52">
        <f t="shared" si="11"/>
        <v>22</v>
      </c>
      <c r="AB27" s="53">
        <f t="shared" si="12"/>
        <v>55</v>
      </c>
    </row>
    <row r="28" ht="15.75" customHeight="1">
      <c r="B28" s="43">
        <v>25.0</v>
      </c>
      <c r="C28" s="44" t="s">
        <v>225</v>
      </c>
      <c r="D28" s="45">
        <v>12.0</v>
      </c>
      <c r="E28" s="46" t="s">
        <v>202</v>
      </c>
      <c r="F28" s="47">
        <v>4.0</v>
      </c>
      <c r="G28" s="47">
        <v>4.0</v>
      </c>
      <c r="H28" s="48">
        <v>5.0</v>
      </c>
      <c r="I28" s="49">
        <v>5.0</v>
      </c>
      <c r="J28" s="49">
        <v>4.0</v>
      </c>
      <c r="K28" s="49">
        <v>5.0</v>
      </c>
      <c r="L28" s="50">
        <v>4.0</v>
      </c>
      <c r="M28" s="47">
        <v>5.0</v>
      </c>
      <c r="N28" s="47">
        <v>4.0</v>
      </c>
      <c r="O28" s="47">
        <v>5.0</v>
      </c>
      <c r="P28" s="37"/>
      <c r="Q28" s="42">
        <f t="shared" si="1"/>
        <v>3</v>
      </c>
      <c r="R28" s="42">
        <f t="shared" si="2"/>
        <v>1</v>
      </c>
      <c r="S28" s="42">
        <f t="shared" si="3"/>
        <v>4</v>
      </c>
      <c r="T28" s="42">
        <f t="shared" si="4"/>
        <v>0</v>
      </c>
      <c r="U28" s="42">
        <f t="shared" si="5"/>
        <v>3</v>
      </c>
      <c r="V28" s="42">
        <f t="shared" si="6"/>
        <v>0</v>
      </c>
      <c r="W28" s="42">
        <f t="shared" si="7"/>
        <v>3</v>
      </c>
      <c r="X28" s="42">
        <f t="shared" si="8"/>
        <v>0</v>
      </c>
      <c r="Y28" s="42">
        <f t="shared" si="9"/>
        <v>3</v>
      </c>
      <c r="Z28" s="42">
        <f t="shared" si="10"/>
        <v>0</v>
      </c>
      <c r="AA28" s="52">
        <f t="shared" si="11"/>
        <v>17</v>
      </c>
      <c r="AB28" s="53">
        <f t="shared" si="12"/>
        <v>42.5</v>
      </c>
    </row>
    <row r="29" ht="15.75" customHeight="1">
      <c r="B29" s="54"/>
      <c r="C29" s="41" t="s">
        <v>226</v>
      </c>
      <c r="D29" s="55">
        <f>AVERAGE(D4:D28)</f>
        <v>12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37"/>
      <c r="Q29" s="38" t="s">
        <v>227</v>
      </c>
      <c r="R29" s="35"/>
      <c r="S29" s="35"/>
      <c r="T29" s="35"/>
      <c r="U29" s="35"/>
      <c r="V29" s="35"/>
      <c r="W29" s="35"/>
      <c r="X29" s="35"/>
      <c r="Y29" s="35"/>
      <c r="Z29" s="35"/>
      <c r="AA29" s="36"/>
      <c r="AB29" s="56">
        <f>AVERAGE(AB4:AB28)</f>
        <v>59.7</v>
      </c>
    </row>
    <row r="30" ht="15.75" customHeight="1"/>
    <row r="31" ht="15.75" customHeight="1"/>
    <row r="32" ht="33.0" customHeight="1">
      <c r="A32" s="32" t="s">
        <v>228</v>
      </c>
    </row>
    <row r="33" ht="15.75" customHeight="1">
      <c r="B33" s="33" t="s">
        <v>181</v>
      </c>
      <c r="C33" s="33" t="s">
        <v>182</v>
      </c>
      <c r="D33" s="33" t="s">
        <v>183</v>
      </c>
      <c r="E33" s="33" t="s">
        <v>184</v>
      </c>
      <c r="F33" s="34" t="s">
        <v>185</v>
      </c>
      <c r="G33" s="35"/>
      <c r="H33" s="35"/>
      <c r="I33" s="35"/>
      <c r="J33" s="35"/>
      <c r="K33" s="35"/>
      <c r="L33" s="35"/>
      <c r="M33" s="35"/>
      <c r="N33" s="35"/>
      <c r="O33" s="36"/>
      <c r="P33" s="37"/>
      <c r="Q33" s="38" t="s">
        <v>186</v>
      </c>
      <c r="R33" s="35"/>
      <c r="S33" s="35"/>
      <c r="T33" s="35"/>
      <c r="U33" s="35"/>
      <c r="V33" s="35"/>
      <c r="W33" s="35"/>
      <c r="X33" s="35"/>
      <c r="Y33" s="35"/>
      <c r="Z33" s="36"/>
      <c r="AA33" s="33" t="s">
        <v>187</v>
      </c>
      <c r="AB33" s="39" t="s">
        <v>188</v>
      </c>
    </row>
    <row r="34" ht="15.75" customHeight="1">
      <c r="B34" s="40"/>
      <c r="C34" s="40"/>
      <c r="D34" s="40"/>
      <c r="E34" s="40"/>
      <c r="F34" s="41" t="s">
        <v>189</v>
      </c>
      <c r="G34" s="41" t="s">
        <v>190</v>
      </c>
      <c r="H34" s="41" t="s">
        <v>191</v>
      </c>
      <c r="I34" s="41" t="s">
        <v>192</v>
      </c>
      <c r="J34" s="41" t="s">
        <v>193</v>
      </c>
      <c r="K34" s="41" t="s">
        <v>194</v>
      </c>
      <c r="L34" s="41" t="s">
        <v>195</v>
      </c>
      <c r="M34" s="41" t="s">
        <v>196</v>
      </c>
      <c r="N34" s="41" t="s">
        <v>197</v>
      </c>
      <c r="O34" s="41" t="s">
        <v>198</v>
      </c>
      <c r="P34" s="37"/>
      <c r="Q34" s="42" t="s">
        <v>189</v>
      </c>
      <c r="R34" s="42" t="s">
        <v>190</v>
      </c>
      <c r="S34" s="42" t="s">
        <v>191</v>
      </c>
      <c r="T34" s="42" t="s">
        <v>192</v>
      </c>
      <c r="U34" s="42" t="s">
        <v>193</v>
      </c>
      <c r="V34" s="42" t="s">
        <v>194</v>
      </c>
      <c r="W34" s="42" t="s">
        <v>195</v>
      </c>
      <c r="X34" s="42" t="s">
        <v>196</v>
      </c>
      <c r="Y34" s="42" t="s">
        <v>197</v>
      </c>
      <c r="Z34" s="42" t="s">
        <v>198</v>
      </c>
      <c r="AA34" s="40"/>
      <c r="AB34" s="40"/>
    </row>
    <row r="35" ht="15.75" customHeight="1">
      <c r="B35" s="43">
        <v>1.0</v>
      </c>
      <c r="C35" s="57" t="s">
        <v>199</v>
      </c>
      <c r="D35" s="43">
        <v>12.0</v>
      </c>
      <c r="E35" s="43" t="s">
        <v>200</v>
      </c>
      <c r="F35" s="47">
        <v>1.0</v>
      </c>
      <c r="G35" s="47">
        <v>1.0</v>
      </c>
      <c r="H35" s="47">
        <v>3.0</v>
      </c>
      <c r="I35" s="47">
        <v>1.0</v>
      </c>
      <c r="J35" s="47">
        <v>5.0</v>
      </c>
      <c r="K35" s="47">
        <v>2.0</v>
      </c>
      <c r="L35" s="47">
        <v>5.0</v>
      </c>
      <c r="M35" s="47">
        <v>5.0</v>
      </c>
      <c r="N35" s="47">
        <v>4.0</v>
      </c>
      <c r="O35" s="47">
        <v>5.0</v>
      </c>
      <c r="P35" s="37"/>
      <c r="Q35" s="42">
        <f t="shared" ref="Q35:Q59" si="13">F35-1</f>
        <v>0</v>
      </c>
      <c r="R35" s="42">
        <f t="shared" ref="R35:R59" si="14">5-G35</f>
        <v>4</v>
      </c>
      <c r="S35" s="42">
        <f t="shared" ref="S35:S59" si="15">H35-1</f>
        <v>2</v>
      </c>
      <c r="T35" s="42">
        <f t="shared" ref="T35:T59" si="16">5-I35</f>
        <v>4</v>
      </c>
      <c r="U35" s="42">
        <f t="shared" ref="U35:U59" si="17">J35-1</f>
        <v>4</v>
      </c>
      <c r="V35" s="42">
        <f t="shared" ref="V35:V59" si="18">5-K35</f>
        <v>3</v>
      </c>
      <c r="W35" s="42">
        <f t="shared" ref="W35:W59" si="19">L35-1</f>
        <v>4</v>
      </c>
      <c r="X35" s="42">
        <f t="shared" ref="X35:X59" si="20">5-M35</f>
        <v>0</v>
      </c>
      <c r="Y35" s="42">
        <f t="shared" ref="Y35:Y59" si="21">N35-1</f>
        <v>3</v>
      </c>
      <c r="Z35" s="42">
        <f t="shared" ref="Z35:Z59" si="22">5-O35</f>
        <v>0</v>
      </c>
      <c r="AA35" s="52">
        <f t="shared" ref="AA35:AA59" si="23">SUM(Q35:Z35)</f>
        <v>24</v>
      </c>
      <c r="AB35" s="53">
        <f t="shared" ref="AB35:AB59" si="24">AA35*2.5</f>
        <v>60</v>
      </c>
    </row>
    <row r="36" ht="15.75" customHeight="1">
      <c r="B36" s="43">
        <v>2.0</v>
      </c>
      <c r="C36" s="57" t="s">
        <v>201</v>
      </c>
      <c r="D36" s="43">
        <v>12.0</v>
      </c>
      <c r="E36" s="43" t="s">
        <v>202</v>
      </c>
      <c r="F36" s="47">
        <v>3.0</v>
      </c>
      <c r="G36" s="47">
        <v>2.0</v>
      </c>
      <c r="H36" s="47">
        <v>4.0</v>
      </c>
      <c r="I36" s="47">
        <v>3.0</v>
      </c>
      <c r="J36" s="47">
        <v>2.0</v>
      </c>
      <c r="K36" s="47">
        <v>4.0</v>
      </c>
      <c r="L36" s="47">
        <v>2.0</v>
      </c>
      <c r="M36" s="47">
        <v>3.0</v>
      </c>
      <c r="N36" s="47">
        <v>3.0</v>
      </c>
      <c r="O36" s="47">
        <v>3.0</v>
      </c>
      <c r="P36" s="37"/>
      <c r="Q36" s="42">
        <f t="shared" si="13"/>
        <v>2</v>
      </c>
      <c r="R36" s="42">
        <f t="shared" si="14"/>
        <v>3</v>
      </c>
      <c r="S36" s="42">
        <f t="shared" si="15"/>
        <v>3</v>
      </c>
      <c r="T36" s="42">
        <f t="shared" si="16"/>
        <v>2</v>
      </c>
      <c r="U36" s="42">
        <f t="shared" si="17"/>
        <v>1</v>
      </c>
      <c r="V36" s="42">
        <f t="shared" si="18"/>
        <v>1</v>
      </c>
      <c r="W36" s="42">
        <f t="shared" si="19"/>
        <v>1</v>
      </c>
      <c r="X36" s="42">
        <f t="shared" si="20"/>
        <v>2</v>
      </c>
      <c r="Y36" s="42">
        <f t="shared" si="21"/>
        <v>2</v>
      </c>
      <c r="Z36" s="42">
        <f t="shared" si="22"/>
        <v>2</v>
      </c>
      <c r="AA36" s="52">
        <f t="shared" si="23"/>
        <v>19</v>
      </c>
      <c r="AB36" s="53">
        <f t="shared" si="24"/>
        <v>47.5</v>
      </c>
    </row>
    <row r="37" ht="15.75" customHeight="1">
      <c r="B37" s="43">
        <v>3.0</v>
      </c>
      <c r="C37" s="57" t="s">
        <v>203</v>
      </c>
      <c r="D37" s="43">
        <v>12.0</v>
      </c>
      <c r="E37" s="43" t="s">
        <v>200</v>
      </c>
      <c r="F37" s="47">
        <v>2.0</v>
      </c>
      <c r="G37" s="47">
        <v>2.0</v>
      </c>
      <c r="H37" s="47">
        <v>4.0</v>
      </c>
      <c r="I37" s="47">
        <v>2.0</v>
      </c>
      <c r="J37" s="47">
        <v>5.0</v>
      </c>
      <c r="K37" s="47">
        <v>1.0</v>
      </c>
      <c r="L37" s="47">
        <v>5.0</v>
      </c>
      <c r="M37" s="47">
        <v>5.0</v>
      </c>
      <c r="N37" s="47">
        <v>5.0</v>
      </c>
      <c r="O37" s="47">
        <v>5.0</v>
      </c>
      <c r="P37" s="37"/>
      <c r="Q37" s="42">
        <f t="shared" si="13"/>
        <v>1</v>
      </c>
      <c r="R37" s="42">
        <f t="shared" si="14"/>
        <v>3</v>
      </c>
      <c r="S37" s="42">
        <f t="shared" si="15"/>
        <v>3</v>
      </c>
      <c r="T37" s="42">
        <f t="shared" si="16"/>
        <v>3</v>
      </c>
      <c r="U37" s="42">
        <f t="shared" si="17"/>
        <v>4</v>
      </c>
      <c r="V37" s="42">
        <f t="shared" si="18"/>
        <v>4</v>
      </c>
      <c r="W37" s="42">
        <f t="shared" si="19"/>
        <v>4</v>
      </c>
      <c r="X37" s="42">
        <f t="shared" si="20"/>
        <v>0</v>
      </c>
      <c r="Y37" s="42">
        <f t="shared" si="21"/>
        <v>4</v>
      </c>
      <c r="Z37" s="42">
        <f t="shared" si="22"/>
        <v>0</v>
      </c>
      <c r="AA37" s="52">
        <f t="shared" si="23"/>
        <v>26</v>
      </c>
      <c r="AB37" s="53">
        <f t="shared" si="24"/>
        <v>65</v>
      </c>
    </row>
    <row r="38" ht="15.75" customHeight="1">
      <c r="B38" s="43">
        <v>4.0</v>
      </c>
      <c r="C38" s="57" t="s">
        <v>204</v>
      </c>
      <c r="D38" s="43">
        <v>19.0</v>
      </c>
      <c r="E38" s="43" t="s">
        <v>202</v>
      </c>
      <c r="F38" s="47">
        <v>4.0</v>
      </c>
      <c r="G38" s="47">
        <v>5.0</v>
      </c>
      <c r="H38" s="47">
        <v>5.0</v>
      </c>
      <c r="I38" s="47">
        <v>4.0</v>
      </c>
      <c r="J38" s="47">
        <v>5.0</v>
      </c>
      <c r="K38" s="47">
        <v>5.0</v>
      </c>
      <c r="L38" s="47">
        <v>4.0</v>
      </c>
      <c r="M38" s="47">
        <v>4.0</v>
      </c>
      <c r="N38" s="47">
        <v>4.0</v>
      </c>
      <c r="O38" s="47">
        <v>5.0</v>
      </c>
      <c r="P38" s="37"/>
      <c r="Q38" s="42">
        <f t="shared" si="13"/>
        <v>3</v>
      </c>
      <c r="R38" s="42">
        <f t="shared" si="14"/>
        <v>0</v>
      </c>
      <c r="S38" s="42">
        <f t="shared" si="15"/>
        <v>4</v>
      </c>
      <c r="T38" s="42">
        <f t="shared" si="16"/>
        <v>1</v>
      </c>
      <c r="U38" s="42">
        <f t="shared" si="17"/>
        <v>4</v>
      </c>
      <c r="V38" s="42">
        <f t="shared" si="18"/>
        <v>0</v>
      </c>
      <c r="W38" s="42">
        <f t="shared" si="19"/>
        <v>3</v>
      </c>
      <c r="X38" s="42">
        <f t="shared" si="20"/>
        <v>1</v>
      </c>
      <c r="Y38" s="42">
        <f t="shared" si="21"/>
        <v>3</v>
      </c>
      <c r="Z38" s="42">
        <f t="shared" si="22"/>
        <v>0</v>
      </c>
      <c r="AA38" s="52">
        <f t="shared" si="23"/>
        <v>19</v>
      </c>
      <c r="AB38" s="53">
        <f t="shared" si="24"/>
        <v>47.5</v>
      </c>
    </row>
    <row r="39" ht="15.75" customHeight="1">
      <c r="B39" s="43">
        <v>5.0</v>
      </c>
      <c r="C39" s="57" t="s">
        <v>205</v>
      </c>
      <c r="D39" s="43">
        <v>90.0</v>
      </c>
      <c r="E39" s="43" t="s">
        <v>202</v>
      </c>
      <c r="F39" s="47">
        <v>1.0</v>
      </c>
      <c r="G39" s="47">
        <v>5.0</v>
      </c>
      <c r="H39" s="47">
        <v>2.0</v>
      </c>
      <c r="I39" s="47">
        <v>4.0</v>
      </c>
      <c r="J39" s="47">
        <v>3.0</v>
      </c>
      <c r="K39" s="47">
        <v>1.0</v>
      </c>
      <c r="L39" s="47">
        <v>1.0</v>
      </c>
      <c r="M39" s="47">
        <v>4.0</v>
      </c>
      <c r="N39" s="47">
        <v>5.0</v>
      </c>
      <c r="O39" s="47">
        <v>3.0</v>
      </c>
      <c r="P39" s="37"/>
      <c r="Q39" s="42">
        <f t="shared" si="13"/>
        <v>0</v>
      </c>
      <c r="R39" s="42">
        <f t="shared" si="14"/>
        <v>0</v>
      </c>
      <c r="S39" s="42">
        <f t="shared" si="15"/>
        <v>1</v>
      </c>
      <c r="T39" s="42">
        <f t="shared" si="16"/>
        <v>1</v>
      </c>
      <c r="U39" s="42">
        <f t="shared" si="17"/>
        <v>2</v>
      </c>
      <c r="V39" s="42">
        <f t="shared" si="18"/>
        <v>4</v>
      </c>
      <c r="W39" s="42">
        <f t="shared" si="19"/>
        <v>0</v>
      </c>
      <c r="X39" s="42">
        <f t="shared" si="20"/>
        <v>1</v>
      </c>
      <c r="Y39" s="42">
        <f t="shared" si="21"/>
        <v>4</v>
      </c>
      <c r="Z39" s="42">
        <f t="shared" si="22"/>
        <v>2</v>
      </c>
      <c r="AA39" s="52">
        <f t="shared" si="23"/>
        <v>15</v>
      </c>
      <c r="AB39" s="53">
        <f t="shared" si="24"/>
        <v>37.5</v>
      </c>
    </row>
    <row r="40" ht="15.75" customHeight="1">
      <c r="B40" s="43">
        <v>6.0</v>
      </c>
      <c r="C40" s="57" t="s">
        <v>206</v>
      </c>
      <c r="D40" s="43">
        <v>25.0</v>
      </c>
      <c r="E40" s="43" t="s">
        <v>202</v>
      </c>
      <c r="F40" s="47">
        <v>1.0</v>
      </c>
      <c r="G40" s="47">
        <v>2.0</v>
      </c>
      <c r="H40" s="47">
        <v>5.0</v>
      </c>
      <c r="I40" s="47">
        <v>3.0</v>
      </c>
      <c r="J40" s="47">
        <v>1.0</v>
      </c>
      <c r="K40" s="47">
        <v>3.0</v>
      </c>
      <c r="L40" s="47">
        <v>5.0</v>
      </c>
      <c r="M40" s="47">
        <v>1.0</v>
      </c>
      <c r="N40" s="47">
        <v>2.0</v>
      </c>
      <c r="O40" s="47">
        <v>4.0</v>
      </c>
      <c r="P40" s="37"/>
      <c r="Q40" s="42">
        <f t="shared" si="13"/>
        <v>0</v>
      </c>
      <c r="R40" s="42">
        <f t="shared" si="14"/>
        <v>3</v>
      </c>
      <c r="S40" s="42">
        <f t="shared" si="15"/>
        <v>4</v>
      </c>
      <c r="T40" s="42">
        <f t="shared" si="16"/>
        <v>2</v>
      </c>
      <c r="U40" s="42">
        <f t="shared" si="17"/>
        <v>0</v>
      </c>
      <c r="V40" s="42">
        <f t="shared" si="18"/>
        <v>2</v>
      </c>
      <c r="W40" s="42">
        <f t="shared" si="19"/>
        <v>4</v>
      </c>
      <c r="X40" s="42">
        <f t="shared" si="20"/>
        <v>4</v>
      </c>
      <c r="Y40" s="42">
        <f t="shared" si="21"/>
        <v>1</v>
      </c>
      <c r="Z40" s="42">
        <f t="shared" si="22"/>
        <v>1</v>
      </c>
      <c r="AA40" s="52">
        <f t="shared" si="23"/>
        <v>21</v>
      </c>
      <c r="AB40" s="53">
        <f t="shared" si="24"/>
        <v>52.5</v>
      </c>
    </row>
    <row r="41" ht="15.75" customHeight="1">
      <c r="B41" s="43">
        <v>7.0</v>
      </c>
      <c r="C41" s="57" t="s">
        <v>207</v>
      </c>
      <c r="D41" s="43">
        <v>20.0</v>
      </c>
      <c r="E41" s="43" t="s">
        <v>200</v>
      </c>
      <c r="F41" s="47">
        <v>2.0</v>
      </c>
      <c r="G41" s="47">
        <v>2.0</v>
      </c>
      <c r="H41" s="47">
        <v>5.0</v>
      </c>
      <c r="I41" s="47">
        <v>2.0</v>
      </c>
      <c r="J41" s="47">
        <v>5.0</v>
      </c>
      <c r="K41" s="47">
        <v>2.0</v>
      </c>
      <c r="L41" s="47">
        <v>5.0</v>
      </c>
      <c r="M41" s="47">
        <v>5.0</v>
      </c>
      <c r="N41" s="47">
        <v>5.0</v>
      </c>
      <c r="O41" s="47">
        <v>5.0</v>
      </c>
      <c r="P41" s="37"/>
      <c r="Q41" s="42">
        <f t="shared" si="13"/>
        <v>1</v>
      </c>
      <c r="R41" s="42">
        <f t="shared" si="14"/>
        <v>3</v>
      </c>
      <c r="S41" s="42">
        <f t="shared" si="15"/>
        <v>4</v>
      </c>
      <c r="T41" s="42">
        <f t="shared" si="16"/>
        <v>3</v>
      </c>
      <c r="U41" s="42">
        <f t="shared" si="17"/>
        <v>4</v>
      </c>
      <c r="V41" s="42">
        <f t="shared" si="18"/>
        <v>3</v>
      </c>
      <c r="W41" s="42">
        <f t="shared" si="19"/>
        <v>4</v>
      </c>
      <c r="X41" s="42">
        <f t="shared" si="20"/>
        <v>0</v>
      </c>
      <c r="Y41" s="42">
        <f t="shared" si="21"/>
        <v>4</v>
      </c>
      <c r="Z41" s="42">
        <f t="shared" si="22"/>
        <v>0</v>
      </c>
      <c r="AA41" s="52">
        <f t="shared" si="23"/>
        <v>26</v>
      </c>
      <c r="AB41" s="53">
        <f t="shared" si="24"/>
        <v>65</v>
      </c>
    </row>
    <row r="42" ht="15.75" customHeight="1">
      <c r="B42" s="43">
        <v>8.0</v>
      </c>
      <c r="C42" s="57" t="s">
        <v>208</v>
      </c>
      <c r="D42" s="43">
        <v>18.0</v>
      </c>
      <c r="E42" s="43" t="s">
        <v>200</v>
      </c>
      <c r="F42" s="47">
        <v>3.0</v>
      </c>
      <c r="G42" s="47">
        <v>3.0</v>
      </c>
      <c r="H42" s="47">
        <v>4.0</v>
      </c>
      <c r="I42" s="47">
        <v>3.0</v>
      </c>
      <c r="J42" s="47">
        <v>3.0</v>
      </c>
      <c r="K42" s="47">
        <v>3.0</v>
      </c>
      <c r="L42" s="47">
        <v>4.0</v>
      </c>
      <c r="M42" s="47">
        <v>4.0</v>
      </c>
      <c r="N42" s="47">
        <v>5.0</v>
      </c>
      <c r="O42" s="47">
        <v>4.0</v>
      </c>
      <c r="P42" s="37"/>
      <c r="Q42" s="42">
        <f t="shared" si="13"/>
        <v>2</v>
      </c>
      <c r="R42" s="42">
        <f t="shared" si="14"/>
        <v>2</v>
      </c>
      <c r="S42" s="42">
        <f t="shared" si="15"/>
        <v>3</v>
      </c>
      <c r="T42" s="42">
        <f t="shared" si="16"/>
        <v>2</v>
      </c>
      <c r="U42" s="42">
        <f t="shared" si="17"/>
        <v>2</v>
      </c>
      <c r="V42" s="42">
        <f t="shared" si="18"/>
        <v>2</v>
      </c>
      <c r="W42" s="42">
        <f t="shared" si="19"/>
        <v>3</v>
      </c>
      <c r="X42" s="42">
        <f t="shared" si="20"/>
        <v>1</v>
      </c>
      <c r="Y42" s="42">
        <f t="shared" si="21"/>
        <v>4</v>
      </c>
      <c r="Z42" s="42">
        <f t="shared" si="22"/>
        <v>1</v>
      </c>
      <c r="AA42" s="52">
        <f t="shared" si="23"/>
        <v>22</v>
      </c>
      <c r="AB42" s="53">
        <f t="shared" si="24"/>
        <v>55</v>
      </c>
    </row>
    <row r="43" ht="15.75" customHeight="1">
      <c r="B43" s="43">
        <v>9.0</v>
      </c>
      <c r="C43" s="57" t="s">
        <v>209</v>
      </c>
      <c r="D43" s="43">
        <v>18.0</v>
      </c>
      <c r="E43" s="43" t="s">
        <v>202</v>
      </c>
      <c r="F43" s="47">
        <v>4.0</v>
      </c>
      <c r="G43" s="47">
        <v>3.0</v>
      </c>
      <c r="H43" s="47">
        <v>4.0</v>
      </c>
      <c r="I43" s="47">
        <v>3.0</v>
      </c>
      <c r="J43" s="47">
        <v>4.0</v>
      </c>
      <c r="K43" s="47">
        <v>2.0</v>
      </c>
      <c r="L43" s="47">
        <v>4.0</v>
      </c>
      <c r="M43" s="47">
        <v>3.0</v>
      </c>
      <c r="N43" s="47">
        <v>4.0</v>
      </c>
      <c r="O43" s="47">
        <v>3.0</v>
      </c>
      <c r="P43" s="37"/>
      <c r="Q43" s="42">
        <f t="shared" si="13"/>
        <v>3</v>
      </c>
      <c r="R43" s="42">
        <f t="shared" si="14"/>
        <v>2</v>
      </c>
      <c r="S43" s="42">
        <f t="shared" si="15"/>
        <v>3</v>
      </c>
      <c r="T43" s="42">
        <f t="shared" si="16"/>
        <v>2</v>
      </c>
      <c r="U43" s="42">
        <f t="shared" si="17"/>
        <v>3</v>
      </c>
      <c r="V43" s="42">
        <f t="shared" si="18"/>
        <v>3</v>
      </c>
      <c r="W43" s="42">
        <f t="shared" si="19"/>
        <v>3</v>
      </c>
      <c r="X43" s="42">
        <f t="shared" si="20"/>
        <v>2</v>
      </c>
      <c r="Y43" s="42">
        <f t="shared" si="21"/>
        <v>3</v>
      </c>
      <c r="Z43" s="42">
        <f t="shared" si="22"/>
        <v>2</v>
      </c>
      <c r="AA43" s="52">
        <f t="shared" si="23"/>
        <v>26</v>
      </c>
      <c r="AB43" s="53">
        <f t="shared" si="24"/>
        <v>65</v>
      </c>
    </row>
    <row r="44" ht="15.75" customHeight="1">
      <c r="B44" s="43">
        <v>10.0</v>
      </c>
      <c r="C44" s="57" t="s">
        <v>210</v>
      </c>
      <c r="D44" s="43">
        <v>19.0</v>
      </c>
      <c r="E44" s="43" t="s">
        <v>202</v>
      </c>
      <c r="F44" s="47">
        <v>4.0</v>
      </c>
      <c r="G44" s="47">
        <v>3.0</v>
      </c>
      <c r="H44" s="47">
        <v>4.0</v>
      </c>
      <c r="I44" s="47">
        <v>3.0</v>
      </c>
      <c r="J44" s="47">
        <v>3.0</v>
      </c>
      <c r="K44" s="47">
        <v>4.0</v>
      </c>
      <c r="L44" s="47">
        <v>2.0</v>
      </c>
      <c r="M44" s="47">
        <v>4.0</v>
      </c>
      <c r="N44" s="47">
        <v>4.0</v>
      </c>
      <c r="O44" s="47">
        <v>4.0</v>
      </c>
      <c r="P44" s="37"/>
      <c r="Q44" s="42">
        <f t="shared" si="13"/>
        <v>3</v>
      </c>
      <c r="R44" s="42">
        <f t="shared" si="14"/>
        <v>2</v>
      </c>
      <c r="S44" s="42">
        <f t="shared" si="15"/>
        <v>3</v>
      </c>
      <c r="T44" s="42">
        <f t="shared" si="16"/>
        <v>2</v>
      </c>
      <c r="U44" s="42">
        <f t="shared" si="17"/>
        <v>2</v>
      </c>
      <c r="V44" s="42">
        <f t="shared" si="18"/>
        <v>1</v>
      </c>
      <c r="W44" s="42">
        <f t="shared" si="19"/>
        <v>1</v>
      </c>
      <c r="X44" s="42">
        <f t="shared" si="20"/>
        <v>1</v>
      </c>
      <c r="Y44" s="42">
        <f t="shared" si="21"/>
        <v>3</v>
      </c>
      <c r="Z44" s="42">
        <f t="shared" si="22"/>
        <v>1</v>
      </c>
      <c r="AA44" s="52">
        <f t="shared" si="23"/>
        <v>19</v>
      </c>
      <c r="AB44" s="53">
        <f t="shared" si="24"/>
        <v>47.5</v>
      </c>
    </row>
    <row r="45" ht="15.75" customHeight="1">
      <c r="B45" s="43">
        <v>11.0</v>
      </c>
      <c r="C45" s="57" t="s">
        <v>211</v>
      </c>
      <c r="D45" s="43">
        <v>19.0</v>
      </c>
      <c r="E45" s="43" t="s">
        <v>202</v>
      </c>
      <c r="F45" s="47">
        <v>3.0</v>
      </c>
      <c r="G45" s="47">
        <v>2.0</v>
      </c>
      <c r="H45" s="47">
        <v>4.0</v>
      </c>
      <c r="I45" s="47">
        <v>2.0</v>
      </c>
      <c r="J45" s="47">
        <v>4.0</v>
      </c>
      <c r="K45" s="47">
        <v>2.0</v>
      </c>
      <c r="L45" s="47">
        <v>4.0</v>
      </c>
      <c r="M45" s="47">
        <v>2.0</v>
      </c>
      <c r="N45" s="47">
        <v>5.0</v>
      </c>
      <c r="O45" s="47">
        <v>3.0</v>
      </c>
      <c r="P45" s="37"/>
      <c r="Q45" s="42">
        <f t="shared" si="13"/>
        <v>2</v>
      </c>
      <c r="R45" s="42">
        <f t="shared" si="14"/>
        <v>3</v>
      </c>
      <c r="S45" s="42">
        <f t="shared" si="15"/>
        <v>3</v>
      </c>
      <c r="T45" s="42">
        <f t="shared" si="16"/>
        <v>3</v>
      </c>
      <c r="U45" s="42">
        <f t="shared" si="17"/>
        <v>3</v>
      </c>
      <c r="V45" s="42">
        <f t="shared" si="18"/>
        <v>3</v>
      </c>
      <c r="W45" s="42">
        <f t="shared" si="19"/>
        <v>3</v>
      </c>
      <c r="X45" s="42">
        <f t="shared" si="20"/>
        <v>3</v>
      </c>
      <c r="Y45" s="42">
        <f t="shared" si="21"/>
        <v>4</v>
      </c>
      <c r="Z45" s="42">
        <f t="shared" si="22"/>
        <v>2</v>
      </c>
      <c r="AA45" s="52">
        <f t="shared" si="23"/>
        <v>29</v>
      </c>
      <c r="AB45" s="53">
        <f t="shared" si="24"/>
        <v>72.5</v>
      </c>
    </row>
    <row r="46" ht="15.75" customHeight="1">
      <c r="B46" s="43">
        <v>12.0</v>
      </c>
      <c r="C46" s="57" t="s">
        <v>212</v>
      </c>
      <c r="D46" s="43">
        <v>20.0</v>
      </c>
      <c r="E46" s="43" t="s">
        <v>202</v>
      </c>
      <c r="F46" s="47">
        <v>3.0</v>
      </c>
      <c r="G46" s="47">
        <v>3.0</v>
      </c>
      <c r="H46" s="47">
        <v>3.0</v>
      </c>
      <c r="I46" s="47">
        <v>3.0</v>
      </c>
      <c r="J46" s="47">
        <v>3.0</v>
      </c>
      <c r="K46" s="47">
        <v>1.0</v>
      </c>
      <c r="L46" s="47">
        <v>4.0</v>
      </c>
      <c r="M46" s="47">
        <v>1.0</v>
      </c>
      <c r="N46" s="47">
        <v>3.0</v>
      </c>
      <c r="O46" s="47">
        <v>2.0</v>
      </c>
      <c r="P46" s="37"/>
      <c r="Q46" s="42">
        <f t="shared" si="13"/>
        <v>2</v>
      </c>
      <c r="R46" s="42">
        <f t="shared" si="14"/>
        <v>2</v>
      </c>
      <c r="S46" s="42">
        <f t="shared" si="15"/>
        <v>2</v>
      </c>
      <c r="T46" s="42">
        <f t="shared" si="16"/>
        <v>2</v>
      </c>
      <c r="U46" s="42">
        <f t="shared" si="17"/>
        <v>2</v>
      </c>
      <c r="V46" s="42">
        <f t="shared" si="18"/>
        <v>4</v>
      </c>
      <c r="W46" s="42">
        <f t="shared" si="19"/>
        <v>3</v>
      </c>
      <c r="X46" s="42">
        <f t="shared" si="20"/>
        <v>4</v>
      </c>
      <c r="Y46" s="42">
        <f t="shared" si="21"/>
        <v>2</v>
      </c>
      <c r="Z46" s="42">
        <f t="shared" si="22"/>
        <v>3</v>
      </c>
      <c r="AA46" s="52">
        <f t="shared" si="23"/>
        <v>26</v>
      </c>
      <c r="AB46" s="53">
        <f t="shared" si="24"/>
        <v>65</v>
      </c>
    </row>
    <row r="47" ht="15.75" customHeight="1">
      <c r="B47" s="43">
        <v>13.0</v>
      </c>
      <c r="C47" s="57" t="s">
        <v>213</v>
      </c>
      <c r="D47" s="43">
        <v>19.0</v>
      </c>
      <c r="E47" s="43" t="s">
        <v>202</v>
      </c>
      <c r="F47" s="47">
        <v>1.0</v>
      </c>
      <c r="G47" s="47">
        <v>1.0</v>
      </c>
      <c r="H47" s="47">
        <v>4.0</v>
      </c>
      <c r="I47" s="47">
        <v>1.0</v>
      </c>
      <c r="J47" s="47">
        <v>3.0</v>
      </c>
      <c r="K47" s="47">
        <v>1.0</v>
      </c>
      <c r="L47" s="47">
        <v>5.0</v>
      </c>
      <c r="M47" s="47">
        <v>5.0</v>
      </c>
      <c r="N47" s="47">
        <v>5.0</v>
      </c>
      <c r="O47" s="47">
        <v>5.0</v>
      </c>
      <c r="P47" s="37"/>
      <c r="Q47" s="42">
        <f t="shared" si="13"/>
        <v>0</v>
      </c>
      <c r="R47" s="42">
        <f t="shared" si="14"/>
        <v>4</v>
      </c>
      <c r="S47" s="42">
        <f t="shared" si="15"/>
        <v>3</v>
      </c>
      <c r="T47" s="42">
        <f t="shared" si="16"/>
        <v>4</v>
      </c>
      <c r="U47" s="42">
        <f t="shared" si="17"/>
        <v>2</v>
      </c>
      <c r="V47" s="42">
        <f t="shared" si="18"/>
        <v>4</v>
      </c>
      <c r="W47" s="42">
        <f t="shared" si="19"/>
        <v>4</v>
      </c>
      <c r="X47" s="42">
        <f t="shared" si="20"/>
        <v>0</v>
      </c>
      <c r="Y47" s="42">
        <f t="shared" si="21"/>
        <v>4</v>
      </c>
      <c r="Z47" s="42">
        <f t="shared" si="22"/>
        <v>0</v>
      </c>
      <c r="AA47" s="52">
        <f t="shared" si="23"/>
        <v>25</v>
      </c>
      <c r="AB47" s="53">
        <f t="shared" si="24"/>
        <v>62.5</v>
      </c>
    </row>
    <row r="48" ht="15.75" customHeight="1">
      <c r="B48" s="43">
        <v>14.0</v>
      </c>
      <c r="C48" s="57" t="s">
        <v>214</v>
      </c>
      <c r="D48" s="43">
        <v>20.0</v>
      </c>
      <c r="E48" s="43" t="s">
        <v>202</v>
      </c>
      <c r="F48" s="47">
        <v>3.0</v>
      </c>
      <c r="G48" s="47">
        <v>3.0</v>
      </c>
      <c r="H48" s="47">
        <v>5.0</v>
      </c>
      <c r="I48" s="47">
        <v>3.0</v>
      </c>
      <c r="J48" s="47">
        <v>3.0</v>
      </c>
      <c r="K48" s="47">
        <v>2.0</v>
      </c>
      <c r="L48" s="47">
        <v>3.0</v>
      </c>
      <c r="M48" s="47">
        <v>5.0</v>
      </c>
      <c r="N48" s="47">
        <v>5.0</v>
      </c>
      <c r="O48" s="47">
        <v>5.0</v>
      </c>
      <c r="P48" s="37"/>
      <c r="Q48" s="42">
        <f t="shared" si="13"/>
        <v>2</v>
      </c>
      <c r="R48" s="42">
        <f t="shared" si="14"/>
        <v>2</v>
      </c>
      <c r="S48" s="42">
        <f t="shared" si="15"/>
        <v>4</v>
      </c>
      <c r="T48" s="42">
        <f t="shared" si="16"/>
        <v>2</v>
      </c>
      <c r="U48" s="42">
        <f t="shared" si="17"/>
        <v>2</v>
      </c>
      <c r="V48" s="42">
        <f t="shared" si="18"/>
        <v>3</v>
      </c>
      <c r="W48" s="42">
        <f t="shared" si="19"/>
        <v>2</v>
      </c>
      <c r="X48" s="42">
        <f t="shared" si="20"/>
        <v>0</v>
      </c>
      <c r="Y48" s="42">
        <f t="shared" si="21"/>
        <v>4</v>
      </c>
      <c r="Z48" s="42">
        <f t="shared" si="22"/>
        <v>0</v>
      </c>
      <c r="AA48" s="52">
        <f t="shared" si="23"/>
        <v>21</v>
      </c>
      <c r="AB48" s="53">
        <f t="shared" si="24"/>
        <v>52.5</v>
      </c>
    </row>
    <row r="49" ht="15.75" customHeight="1">
      <c r="B49" s="43">
        <v>15.0</v>
      </c>
      <c r="C49" s="57" t="s">
        <v>215</v>
      </c>
      <c r="D49" s="43">
        <v>20.0</v>
      </c>
      <c r="E49" s="43" t="s">
        <v>202</v>
      </c>
      <c r="F49" s="47">
        <v>1.0</v>
      </c>
      <c r="G49" s="47">
        <v>2.0</v>
      </c>
      <c r="H49" s="47">
        <v>4.0</v>
      </c>
      <c r="I49" s="47">
        <v>1.0</v>
      </c>
      <c r="J49" s="47">
        <v>4.0</v>
      </c>
      <c r="K49" s="47">
        <v>2.0</v>
      </c>
      <c r="L49" s="47">
        <v>5.0</v>
      </c>
      <c r="M49" s="47">
        <v>4.0</v>
      </c>
      <c r="N49" s="47">
        <v>5.0</v>
      </c>
      <c r="O49" s="47">
        <v>5.0</v>
      </c>
      <c r="P49" s="37"/>
      <c r="Q49" s="42">
        <f t="shared" si="13"/>
        <v>0</v>
      </c>
      <c r="R49" s="42">
        <f t="shared" si="14"/>
        <v>3</v>
      </c>
      <c r="S49" s="42">
        <f t="shared" si="15"/>
        <v>3</v>
      </c>
      <c r="T49" s="42">
        <f t="shared" si="16"/>
        <v>4</v>
      </c>
      <c r="U49" s="42">
        <f t="shared" si="17"/>
        <v>3</v>
      </c>
      <c r="V49" s="42">
        <f t="shared" si="18"/>
        <v>3</v>
      </c>
      <c r="W49" s="42">
        <f t="shared" si="19"/>
        <v>4</v>
      </c>
      <c r="X49" s="42">
        <f t="shared" si="20"/>
        <v>1</v>
      </c>
      <c r="Y49" s="42">
        <f t="shared" si="21"/>
        <v>4</v>
      </c>
      <c r="Z49" s="42">
        <f t="shared" si="22"/>
        <v>0</v>
      </c>
      <c r="AA49" s="52">
        <f t="shared" si="23"/>
        <v>25</v>
      </c>
      <c r="AB49" s="53">
        <f t="shared" si="24"/>
        <v>62.5</v>
      </c>
    </row>
    <row r="50" ht="15.75" customHeight="1">
      <c r="B50" s="43">
        <v>16.0</v>
      </c>
      <c r="C50" s="57" t="s">
        <v>216</v>
      </c>
      <c r="D50" s="43">
        <v>20.0</v>
      </c>
      <c r="E50" s="43" t="s">
        <v>200</v>
      </c>
      <c r="F50" s="47">
        <v>4.0</v>
      </c>
      <c r="G50" s="47">
        <v>4.0</v>
      </c>
      <c r="H50" s="47">
        <v>3.0</v>
      </c>
      <c r="I50" s="47">
        <v>2.0</v>
      </c>
      <c r="J50" s="47">
        <v>4.0</v>
      </c>
      <c r="K50" s="47">
        <v>4.0</v>
      </c>
      <c r="L50" s="47">
        <v>5.0</v>
      </c>
      <c r="M50" s="47">
        <v>5.0</v>
      </c>
      <c r="N50" s="47">
        <v>4.0</v>
      </c>
      <c r="O50" s="47">
        <v>4.0</v>
      </c>
      <c r="P50" s="37"/>
      <c r="Q50" s="42">
        <f t="shared" si="13"/>
        <v>3</v>
      </c>
      <c r="R50" s="42">
        <f t="shared" si="14"/>
        <v>1</v>
      </c>
      <c r="S50" s="42">
        <f t="shared" si="15"/>
        <v>2</v>
      </c>
      <c r="T50" s="42">
        <f t="shared" si="16"/>
        <v>3</v>
      </c>
      <c r="U50" s="42">
        <f t="shared" si="17"/>
        <v>3</v>
      </c>
      <c r="V50" s="42">
        <f t="shared" si="18"/>
        <v>1</v>
      </c>
      <c r="W50" s="42">
        <f t="shared" si="19"/>
        <v>4</v>
      </c>
      <c r="X50" s="42">
        <f t="shared" si="20"/>
        <v>0</v>
      </c>
      <c r="Y50" s="42">
        <f t="shared" si="21"/>
        <v>3</v>
      </c>
      <c r="Z50" s="42">
        <f t="shared" si="22"/>
        <v>1</v>
      </c>
      <c r="AA50" s="52">
        <f t="shared" si="23"/>
        <v>21</v>
      </c>
      <c r="AB50" s="53">
        <f t="shared" si="24"/>
        <v>52.5</v>
      </c>
    </row>
    <row r="51" ht="15.75" customHeight="1">
      <c r="B51" s="43">
        <v>17.0</v>
      </c>
      <c r="C51" s="57" t="s">
        <v>217</v>
      </c>
      <c r="D51" s="43">
        <v>19.0</v>
      </c>
      <c r="E51" s="43" t="s">
        <v>200</v>
      </c>
      <c r="F51" s="47">
        <v>4.0</v>
      </c>
      <c r="G51" s="47">
        <v>2.0</v>
      </c>
      <c r="H51" s="47">
        <v>3.0</v>
      </c>
      <c r="I51" s="47">
        <v>2.0</v>
      </c>
      <c r="J51" s="47">
        <v>3.0</v>
      </c>
      <c r="K51" s="47">
        <v>2.0</v>
      </c>
      <c r="L51" s="47">
        <v>3.0</v>
      </c>
      <c r="M51" s="47">
        <v>3.0</v>
      </c>
      <c r="N51" s="47">
        <v>3.0</v>
      </c>
      <c r="O51" s="47">
        <v>3.0</v>
      </c>
      <c r="P51" s="37"/>
      <c r="Q51" s="42">
        <f t="shared" si="13"/>
        <v>3</v>
      </c>
      <c r="R51" s="42">
        <f t="shared" si="14"/>
        <v>3</v>
      </c>
      <c r="S51" s="42">
        <f t="shared" si="15"/>
        <v>2</v>
      </c>
      <c r="T51" s="42">
        <f t="shared" si="16"/>
        <v>3</v>
      </c>
      <c r="U51" s="42">
        <f t="shared" si="17"/>
        <v>2</v>
      </c>
      <c r="V51" s="42">
        <f t="shared" si="18"/>
        <v>3</v>
      </c>
      <c r="W51" s="42">
        <f t="shared" si="19"/>
        <v>2</v>
      </c>
      <c r="X51" s="42">
        <f t="shared" si="20"/>
        <v>2</v>
      </c>
      <c r="Y51" s="42">
        <f t="shared" si="21"/>
        <v>2</v>
      </c>
      <c r="Z51" s="42">
        <f t="shared" si="22"/>
        <v>2</v>
      </c>
      <c r="AA51" s="52">
        <f t="shared" si="23"/>
        <v>24</v>
      </c>
      <c r="AB51" s="53">
        <f t="shared" si="24"/>
        <v>60</v>
      </c>
    </row>
    <row r="52" ht="15.75" customHeight="1">
      <c r="B52" s="43">
        <v>18.0</v>
      </c>
      <c r="C52" s="57" t="s">
        <v>218</v>
      </c>
      <c r="D52" s="43">
        <v>20.0</v>
      </c>
      <c r="E52" s="43" t="s">
        <v>200</v>
      </c>
      <c r="F52" s="47">
        <v>4.0</v>
      </c>
      <c r="G52" s="47">
        <v>3.0</v>
      </c>
      <c r="H52" s="47">
        <v>4.0</v>
      </c>
      <c r="I52" s="47">
        <v>3.0</v>
      </c>
      <c r="J52" s="47">
        <v>2.0</v>
      </c>
      <c r="K52" s="47">
        <v>3.0</v>
      </c>
      <c r="L52" s="47">
        <v>3.0</v>
      </c>
      <c r="M52" s="47">
        <v>4.0</v>
      </c>
      <c r="N52" s="47">
        <v>4.0</v>
      </c>
      <c r="O52" s="47">
        <v>4.0</v>
      </c>
      <c r="P52" s="37"/>
      <c r="Q52" s="42">
        <f t="shared" si="13"/>
        <v>3</v>
      </c>
      <c r="R52" s="42">
        <f t="shared" si="14"/>
        <v>2</v>
      </c>
      <c r="S52" s="42">
        <f t="shared" si="15"/>
        <v>3</v>
      </c>
      <c r="T52" s="42">
        <f t="shared" si="16"/>
        <v>2</v>
      </c>
      <c r="U52" s="42">
        <f t="shared" si="17"/>
        <v>1</v>
      </c>
      <c r="V52" s="42">
        <f t="shared" si="18"/>
        <v>2</v>
      </c>
      <c r="W52" s="42">
        <f t="shared" si="19"/>
        <v>2</v>
      </c>
      <c r="X52" s="42">
        <f t="shared" si="20"/>
        <v>1</v>
      </c>
      <c r="Y52" s="42">
        <f t="shared" si="21"/>
        <v>3</v>
      </c>
      <c r="Z52" s="42">
        <f t="shared" si="22"/>
        <v>1</v>
      </c>
      <c r="AA52" s="52">
        <f t="shared" si="23"/>
        <v>20</v>
      </c>
      <c r="AB52" s="53">
        <f t="shared" si="24"/>
        <v>50</v>
      </c>
    </row>
    <row r="53" ht="15.75" customHeight="1">
      <c r="B53" s="43">
        <v>19.0</v>
      </c>
      <c r="C53" s="57" t="s">
        <v>219</v>
      </c>
      <c r="D53" s="43">
        <v>18.0</v>
      </c>
      <c r="E53" s="43" t="s">
        <v>200</v>
      </c>
      <c r="F53" s="47">
        <v>4.0</v>
      </c>
      <c r="G53" s="47">
        <v>2.0</v>
      </c>
      <c r="H53" s="47">
        <v>4.0</v>
      </c>
      <c r="I53" s="47">
        <v>1.0</v>
      </c>
      <c r="J53" s="47">
        <v>3.0</v>
      </c>
      <c r="K53" s="47">
        <v>2.0</v>
      </c>
      <c r="L53" s="47">
        <v>4.0</v>
      </c>
      <c r="M53" s="47">
        <v>3.0</v>
      </c>
      <c r="N53" s="47">
        <v>4.0</v>
      </c>
      <c r="O53" s="47">
        <v>4.0</v>
      </c>
      <c r="P53" s="37"/>
      <c r="Q53" s="42">
        <f t="shared" si="13"/>
        <v>3</v>
      </c>
      <c r="R53" s="42">
        <f t="shared" si="14"/>
        <v>3</v>
      </c>
      <c r="S53" s="42">
        <f t="shared" si="15"/>
        <v>3</v>
      </c>
      <c r="T53" s="42">
        <f t="shared" si="16"/>
        <v>4</v>
      </c>
      <c r="U53" s="42">
        <f t="shared" si="17"/>
        <v>2</v>
      </c>
      <c r="V53" s="42">
        <f t="shared" si="18"/>
        <v>3</v>
      </c>
      <c r="W53" s="42">
        <f t="shared" si="19"/>
        <v>3</v>
      </c>
      <c r="X53" s="42">
        <f t="shared" si="20"/>
        <v>2</v>
      </c>
      <c r="Y53" s="42">
        <f t="shared" si="21"/>
        <v>3</v>
      </c>
      <c r="Z53" s="42">
        <f t="shared" si="22"/>
        <v>1</v>
      </c>
      <c r="AA53" s="52">
        <f t="shared" si="23"/>
        <v>27</v>
      </c>
      <c r="AB53" s="53">
        <f t="shared" si="24"/>
        <v>67.5</v>
      </c>
    </row>
    <row r="54" ht="15.75" customHeight="1">
      <c r="B54" s="43">
        <v>20.0</v>
      </c>
      <c r="C54" s="57" t="s">
        <v>220</v>
      </c>
      <c r="D54" s="43">
        <v>19.0</v>
      </c>
      <c r="E54" s="43" t="s">
        <v>202</v>
      </c>
      <c r="F54" s="47">
        <v>2.0</v>
      </c>
      <c r="G54" s="47">
        <v>2.0</v>
      </c>
      <c r="H54" s="47">
        <v>4.0</v>
      </c>
      <c r="I54" s="47">
        <v>2.0</v>
      </c>
      <c r="J54" s="47">
        <v>4.0</v>
      </c>
      <c r="K54" s="47">
        <v>2.0</v>
      </c>
      <c r="L54" s="47">
        <v>4.0</v>
      </c>
      <c r="M54" s="47">
        <v>4.0</v>
      </c>
      <c r="N54" s="47">
        <v>4.0</v>
      </c>
      <c r="O54" s="47">
        <v>5.0</v>
      </c>
      <c r="P54" s="37"/>
      <c r="Q54" s="42">
        <f t="shared" si="13"/>
        <v>1</v>
      </c>
      <c r="R54" s="42">
        <f t="shared" si="14"/>
        <v>3</v>
      </c>
      <c r="S54" s="42">
        <f t="shared" si="15"/>
        <v>3</v>
      </c>
      <c r="T54" s="42">
        <f t="shared" si="16"/>
        <v>3</v>
      </c>
      <c r="U54" s="42">
        <f t="shared" si="17"/>
        <v>3</v>
      </c>
      <c r="V54" s="42">
        <f t="shared" si="18"/>
        <v>3</v>
      </c>
      <c r="W54" s="42">
        <f t="shared" si="19"/>
        <v>3</v>
      </c>
      <c r="X54" s="42">
        <f t="shared" si="20"/>
        <v>1</v>
      </c>
      <c r="Y54" s="42">
        <f t="shared" si="21"/>
        <v>3</v>
      </c>
      <c r="Z54" s="42">
        <f t="shared" si="22"/>
        <v>0</v>
      </c>
      <c r="AA54" s="52">
        <f t="shared" si="23"/>
        <v>23</v>
      </c>
      <c r="AB54" s="53">
        <f t="shared" si="24"/>
        <v>57.5</v>
      </c>
    </row>
    <row r="55" ht="15.75" customHeight="1">
      <c r="B55" s="43">
        <v>21.0</v>
      </c>
      <c r="C55" s="57" t="s">
        <v>221</v>
      </c>
      <c r="D55" s="43">
        <v>20.0</v>
      </c>
      <c r="E55" s="43" t="s">
        <v>202</v>
      </c>
      <c r="F55" s="47">
        <v>4.0</v>
      </c>
      <c r="G55" s="47">
        <v>3.0</v>
      </c>
      <c r="H55" s="47">
        <v>4.0</v>
      </c>
      <c r="I55" s="47">
        <v>3.0</v>
      </c>
      <c r="J55" s="47">
        <v>4.0</v>
      </c>
      <c r="K55" s="47">
        <v>2.0</v>
      </c>
      <c r="L55" s="47">
        <v>4.0</v>
      </c>
      <c r="M55" s="47">
        <v>3.0</v>
      </c>
      <c r="N55" s="47">
        <v>4.0</v>
      </c>
      <c r="O55" s="47">
        <v>3.0</v>
      </c>
      <c r="P55" s="37"/>
      <c r="Q55" s="42">
        <f t="shared" si="13"/>
        <v>3</v>
      </c>
      <c r="R55" s="42">
        <f t="shared" si="14"/>
        <v>2</v>
      </c>
      <c r="S55" s="42">
        <f t="shared" si="15"/>
        <v>3</v>
      </c>
      <c r="T55" s="42">
        <f t="shared" si="16"/>
        <v>2</v>
      </c>
      <c r="U55" s="42">
        <f t="shared" si="17"/>
        <v>3</v>
      </c>
      <c r="V55" s="42">
        <f t="shared" si="18"/>
        <v>3</v>
      </c>
      <c r="W55" s="42">
        <f t="shared" si="19"/>
        <v>3</v>
      </c>
      <c r="X55" s="42">
        <f t="shared" si="20"/>
        <v>2</v>
      </c>
      <c r="Y55" s="42">
        <f t="shared" si="21"/>
        <v>3</v>
      </c>
      <c r="Z55" s="42">
        <f t="shared" si="22"/>
        <v>2</v>
      </c>
      <c r="AA55" s="52">
        <f t="shared" si="23"/>
        <v>26</v>
      </c>
      <c r="AB55" s="53">
        <f t="shared" si="24"/>
        <v>65</v>
      </c>
    </row>
    <row r="56" ht="15.75" customHeight="1">
      <c r="B56" s="43">
        <v>22.0</v>
      </c>
      <c r="C56" s="57" t="s">
        <v>222</v>
      </c>
      <c r="D56" s="43">
        <v>19.0</v>
      </c>
      <c r="E56" s="43" t="s">
        <v>200</v>
      </c>
      <c r="F56" s="47">
        <v>4.0</v>
      </c>
      <c r="G56" s="47">
        <v>3.0</v>
      </c>
      <c r="H56" s="47">
        <v>4.0</v>
      </c>
      <c r="I56" s="47">
        <v>3.0</v>
      </c>
      <c r="J56" s="47">
        <v>3.0</v>
      </c>
      <c r="K56" s="47">
        <v>4.0</v>
      </c>
      <c r="L56" s="47">
        <v>2.0</v>
      </c>
      <c r="M56" s="47">
        <v>4.0</v>
      </c>
      <c r="N56" s="47">
        <v>4.0</v>
      </c>
      <c r="O56" s="47">
        <v>4.0</v>
      </c>
      <c r="P56" s="37"/>
      <c r="Q56" s="42">
        <f t="shared" si="13"/>
        <v>3</v>
      </c>
      <c r="R56" s="42">
        <f t="shared" si="14"/>
        <v>2</v>
      </c>
      <c r="S56" s="42">
        <f t="shared" si="15"/>
        <v>3</v>
      </c>
      <c r="T56" s="42">
        <f t="shared" si="16"/>
        <v>2</v>
      </c>
      <c r="U56" s="42">
        <f t="shared" si="17"/>
        <v>2</v>
      </c>
      <c r="V56" s="42">
        <f t="shared" si="18"/>
        <v>1</v>
      </c>
      <c r="W56" s="42">
        <f t="shared" si="19"/>
        <v>1</v>
      </c>
      <c r="X56" s="42">
        <f t="shared" si="20"/>
        <v>1</v>
      </c>
      <c r="Y56" s="42">
        <f t="shared" si="21"/>
        <v>3</v>
      </c>
      <c r="Z56" s="42">
        <f t="shared" si="22"/>
        <v>1</v>
      </c>
      <c r="AA56" s="52">
        <f t="shared" si="23"/>
        <v>19</v>
      </c>
      <c r="AB56" s="53">
        <f t="shared" si="24"/>
        <v>47.5</v>
      </c>
    </row>
    <row r="57" ht="15.75" customHeight="1">
      <c r="B57" s="43">
        <v>23.0</v>
      </c>
      <c r="C57" s="57" t="s">
        <v>223</v>
      </c>
      <c r="D57" s="43">
        <v>20.0</v>
      </c>
      <c r="E57" s="43" t="s">
        <v>200</v>
      </c>
      <c r="F57" s="47">
        <v>3.0</v>
      </c>
      <c r="G57" s="47">
        <v>2.0</v>
      </c>
      <c r="H57" s="47">
        <v>4.0</v>
      </c>
      <c r="I57" s="47">
        <v>2.0</v>
      </c>
      <c r="J57" s="47">
        <v>4.0</v>
      </c>
      <c r="K57" s="47">
        <v>2.0</v>
      </c>
      <c r="L57" s="47">
        <v>4.0</v>
      </c>
      <c r="M57" s="47">
        <v>2.0</v>
      </c>
      <c r="N57" s="47">
        <v>5.0</v>
      </c>
      <c r="O57" s="47">
        <v>3.0</v>
      </c>
      <c r="P57" s="37"/>
      <c r="Q57" s="42">
        <f t="shared" si="13"/>
        <v>2</v>
      </c>
      <c r="R57" s="42">
        <f t="shared" si="14"/>
        <v>3</v>
      </c>
      <c r="S57" s="42">
        <f t="shared" si="15"/>
        <v>3</v>
      </c>
      <c r="T57" s="42">
        <f t="shared" si="16"/>
        <v>3</v>
      </c>
      <c r="U57" s="42">
        <f t="shared" si="17"/>
        <v>3</v>
      </c>
      <c r="V57" s="42">
        <f t="shared" si="18"/>
        <v>3</v>
      </c>
      <c r="W57" s="42">
        <f t="shared" si="19"/>
        <v>3</v>
      </c>
      <c r="X57" s="42">
        <f t="shared" si="20"/>
        <v>3</v>
      </c>
      <c r="Y57" s="42">
        <f t="shared" si="21"/>
        <v>4</v>
      </c>
      <c r="Z57" s="42">
        <f t="shared" si="22"/>
        <v>2</v>
      </c>
      <c r="AA57" s="52">
        <f t="shared" si="23"/>
        <v>29</v>
      </c>
      <c r="AB57" s="53">
        <f t="shared" si="24"/>
        <v>72.5</v>
      </c>
    </row>
    <row r="58" ht="15.75" customHeight="1">
      <c r="B58" s="43">
        <v>24.0</v>
      </c>
      <c r="C58" s="57" t="s">
        <v>224</v>
      </c>
      <c r="D58" s="43">
        <v>20.0</v>
      </c>
      <c r="E58" s="43" t="s">
        <v>200</v>
      </c>
      <c r="F58" s="47">
        <v>1.0</v>
      </c>
      <c r="G58" s="47">
        <v>2.0</v>
      </c>
      <c r="H58" s="47">
        <v>5.0</v>
      </c>
      <c r="I58" s="47">
        <v>3.0</v>
      </c>
      <c r="J58" s="47">
        <v>1.0</v>
      </c>
      <c r="K58" s="47">
        <v>3.0</v>
      </c>
      <c r="L58" s="47">
        <v>5.0</v>
      </c>
      <c r="M58" s="47">
        <v>1.0</v>
      </c>
      <c r="N58" s="47">
        <v>2.0</v>
      </c>
      <c r="O58" s="47">
        <v>4.0</v>
      </c>
      <c r="P58" s="37"/>
      <c r="Q58" s="42">
        <f t="shared" si="13"/>
        <v>0</v>
      </c>
      <c r="R58" s="42">
        <f t="shared" si="14"/>
        <v>3</v>
      </c>
      <c r="S58" s="42">
        <f t="shared" si="15"/>
        <v>4</v>
      </c>
      <c r="T58" s="42">
        <f t="shared" si="16"/>
        <v>2</v>
      </c>
      <c r="U58" s="42">
        <f t="shared" si="17"/>
        <v>0</v>
      </c>
      <c r="V58" s="42">
        <f t="shared" si="18"/>
        <v>2</v>
      </c>
      <c r="W58" s="42">
        <f t="shared" si="19"/>
        <v>4</v>
      </c>
      <c r="X58" s="42">
        <f t="shared" si="20"/>
        <v>4</v>
      </c>
      <c r="Y58" s="42">
        <f t="shared" si="21"/>
        <v>1</v>
      </c>
      <c r="Z58" s="42">
        <f t="shared" si="22"/>
        <v>1</v>
      </c>
      <c r="AA58" s="52">
        <f t="shared" si="23"/>
        <v>21</v>
      </c>
      <c r="AB58" s="53">
        <f t="shared" si="24"/>
        <v>52.5</v>
      </c>
    </row>
    <row r="59" ht="15.75" customHeight="1">
      <c r="B59" s="43">
        <v>25.0</v>
      </c>
      <c r="C59" s="57" t="s">
        <v>225</v>
      </c>
      <c r="D59" s="43">
        <v>19.0</v>
      </c>
      <c r="E59" s="43" t="s">
        <v>200</v>
      </c>
      <c r="F59" s="47">
        <v>2.0</v>
      </c>
      <c r="G59" s="47">
        <v>2.0</v>
      </c>
      <c r="H59" s="47">
        <v>5.0</v>
      </c>
      <c r="I59" s="47">
        <v>2.0</v>
      </c>
      <c r="J59" s="47">
        <v>5.0</v>
      </c>
      <c r="K59" s="47">
        <v>2.0</v>
      </c>
      <c r="L59" s="47">
        <v>5.0</v>
      </c>
      <c r="M59" s="47">
        <v>5.0</v>
      </c>
      <c r="N59" s="47">
        <v>5.0</v>
      </c>
      <c r="O59" s="47">
        <v>5.0</v>
      </c>
      <c r="P59" s="37"/>
      <c r="Q59" s="42">
        <f t="shared" si="13"/>
        <v>1</v>
      </c>
      <c r="R59" s="42">
        <f t="shared" si="14"/>
        <v>3</v>
      </c>
      <c r="S59" s="42">
        <f t="shared" si="15"/>
        <v>4</v>
      </c>
      <c r="T59" s="42">
        <f t="shared" si="16"/>
        <v>3</v>
      </c>
      <c r="U59" s="42">
        <f t="shared" si="17"/>
        <v>4</v>
      </c>
      <c r="V59" s="42">
        <f t="shared" si="18"/>
        <v>3</v>
      </c>
      <c r="W59" s="42">
        <f t="shared" si="19"/>
        <v>4</v>
      </c>
      <c r="X59" s="42">
        <f t="shared" si="20"/>
        <v>0</v>
      </c>
      <c r="Y59" s="42">
        <f t="shared" si="21"/>
        <v>4</v>
      </c>
      <c r="Z59" s="42">
        <f t="shared" si="22"/>
        <v>0</v>
      </c>
      <c r="AA59" s="52">
        <f t="shared" si="23"/>
        <v>26</v>
      </c>
      <c r="AB59" s="53">
        <f t="shared" si="24"/>
        <v>65</v>
      </c>
    </row>
    <row r="60" ht="15.75" customHeight="1">
      <c r="B60" s="54"/>
      <c r="C60" s="41" t="s">
        <v>226</v>
      </c>
      <c r="D60" s="55">
        <f>AVERAGE(D35:D59)</f>
        <v>21.48</v>
      </c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37"/>
      <c r="Q60" s="38" t="s">
        <v>227</v>
      </c>
      <c r="R60" s="35"/>
      <c r="S60" s="35"/>
      <c r="T60" s="35"/>
      <c r="U60" s="35"/>
      <c r="V60" s="35"/>
      <c r="W60" s="35"/>
      <c r="X60" s="35"/>
      <c r="Y60" s="35"/>
      <c r="Z60" s="35"/>
      <c r="AA60" s="36"/>
      <c r="AB60" s="56">
        <f>AVERAGE(AB35:AB59)</f>
        <v>57.9</v>
      </c>
    </row>
    <row r="61" ht="15.75" customHeight="1"/>
    <row r="62" ht="35.25" customHeight="1">
      <c r="A62" s="32" t="s">
        <v>229</v>
      </c>
    </row>
    <row r="63" ht="15.75" customHeight="1">
      <c r="B63" s="33" t="s">
        <v>181</v>
      </c>
      <c r="C63" s="33" t="s">
        <v>182</v>
      </c>
      <c r="D63" s="33" t="s">
        <v>183</v>
      </c>
      <c r="E63" s="33" t="s">
        <v>184</v>
      </c>
      <c r="F63" s="34" t="s">
        <v>185</v>
      </c>
      <c r="G63" s="35"/>
      <c r="H63" s="35"/>
      <c r="I63" s="35"/>
      <c r="J63" s="35"/>
      <c r="K63" s="35"/>
      <c r="L63" s="35"/>
      <c r="M63" s="35"/>
      <c r="N63" s="35"/>
      <c r="O63" s="36"/>
      <c r="P63" s="37"/>
      <c r="Q63" s="38" t="s">
        <v>186</v>
      </c>
      <c r="R63" s="35"/>
      <c r="S63" s="35"/>
      <c r="T63" s="35"/>
      <c r="U63" s="35"/>
      <c r="V63" s="35"/>
      <c r="W63" s="35"/>
      <c r="X63" s="35"/>
      <c r="Y63" s="35"/>
      <c r="Z63" s="36"/>
      <c r="AA63" s="33" t="s">
        <v>187</v>
      </c>
      <c r="AB63" s="39" t="s">
        <v>188</v>
      </c>
    </row>
    <row r="64" ht="15.75" customHeight="1">
      <c r="B64" s="40"/>
      <c r="C64" s="40"/>
      <c r="D64" s="40"/>
      <c r="E64" s="40"/>
      <c r="F64" s="41" t="s">
        <v>189</v>
      </c>
      <c r="G64" s="41" t="s">
        <v>190</v>
      </c>
      <c r="H64" s="41" t="s">
        <v>191</v>
      </c>
      <c r="I64" s="41" t="s">
        <v>192</v>
      </c>
      <c r="J64" s="41" t="s">
        <v>193</v>
      </c>
      <c r="K64" s="41" t="s">
        <v>194</v>
      </c>
      <c r="L64" s="41" t="s">
        <v>195</v>
      </c>
      <c r="M64" s="41" t="s">
        <v>196</v>
      </c>
      <c r="N64" s="41" t="s">
        <v>197</v>
      </c>
      <c r="O64" s="41" t="s">
        <v>198</v>
      </c>
      <c r="P64" s="37"/>
      <c r="Q64" s="42" t="s">
        <v>189</v>
      </c>
      <c r="R64" s="42" t="s">
        <v>190</v>
      </c>
      <c r="S64" s="42" t="s">
        <v>191</v>
      </c>
      <c r="T64" s="42" t="s">
        <v>192</v>
      </c>
      <c r="U64" s="42" t="s">
        <v>193</v>
      </c>
      <c r="V64" s="42" t="s">
        <v>194</v>
      </c>
      <c r="W64" s="42" t="s">
        <v>195</v>
      </c>
      <c r="X64" s="42" t="s">
        <v>196</v>
      </c>
      <c r="Y64" s="42" t="s">
        <v>197</v>
      </c>
      <c r="Z64" s="42" t="s">
        <v>198</v>
      </c>
      <c r="AA64" s="40"/>
      <c r="AB64" s="40"/>
    </row>
    <row r="65" ht="15.75" customHeight="1">
      <c r="B65" s="43">
        <v>1.0</v>
      </c>
      <c r="C65" s="57" t="s">
        <v>199</v>
      </c>
      <c r="D65" s="43">
        <v>12.0</v>
      </c>
      <c r="E65" s="43" t="s">
        <v>202</v>
      </c>
      <c r="F65" s="47">
        <v>5.0</v>
      </c>
      <c r="G65" s="47">
        <v>4.0</v>
      </c>
      <c r="H65" s="47">
        <v>5.0</v>
      </c>
      <c r="I65" s="47">
        <v>4.0</v>
      </c>
      <c r="J65" s="47">
        <v>5.0</v>
      </c>
      <c r="K65" s="47">
        <v>4.0</v>
      </c>
      <c r="L65" s="47">
        <v>5.0</v>
      </c>
      <c r="M65" s="47">
        <v>4.0</v>
      </c>
      <c r="N65" s="47">
        <v>5.0</v>
      </c>
      <c r="O65" s="47">
        <v>4.0</v>
      </c>
      <c r="P65" s="37"/>
      <c r="Q65" s="51">
        <f t="shared" ref="Q65:Q89" si="25">F65-1</f>
        <v>4</v>
      </c>
      <c r="R65" s="51">
        <f t="shared" ref="R65:R89" si="26">5-G65</f>
        <v>1</v>
      </c>
      <c r="S65" s="51">
        <f t="shared" ref="S65:S89" si="27">H65-1</f>
        <v>4</v>
      </c>
      <c r="T65" s="51">
        <f t="shared" ref="T65:T89" si="28">5-I65</f>
        <v>1</v>
      </c>
      <c r="U65" s="51">
        <f t="shared" ref="U65:U89" si="29">J65-1</f>
        <v>4</v>
      </c>
      <c r="V65" s="51">
        <f t="shared" ref="V65:V89" si="30">5-K65</f>
        <v>1</v>
      </c>
      <c r="W65" s="51">
        <f t="shared" ref="W65:W89" si="31">L65-1</f>
        <v>4</v>
      </c>
      <c r="X65" s="51">
        <f t="shared" ref="X65:X89" si="32">5-M65</f>
        <v>1</v>
      </c>
      <c r="Y65" s="51">
        <f t="shared" ref="Y65:Y89" si="33">N65-1</f>
        <v>4</v>
      </c>
      <c r="Z65" s="51">
        <f t="shared" ref="Z65:Z89" si="34">5-O65</f>
        <v>1</v>
      </c>
      <c r="AA65" s="52">
        <f t="shared" ref="AA65:AA89" si="35">SUM(Q65:Z65)</f>
        <v>25</v>
      </c>
      <c r="AB65" s="53">
        <f t="shared" ref="AB65:AB89" si="36">AA65*2.5</f>
        <v>62.5</v>
      </c>
    </row>
    <row r="66" ht="15.75" customHeight="1">
      <c r="B66" s="43">
        <v>2.0</v>
      </c>
      <c r="C66" s="57" t="s">
        <v>201</v>
      </c>
      <c r="D66" s="43">
        <v>12.0</v>
      </c>
      <c r="E66" s="43" t="s">
        <v>200</v>
      </c>
      <c r="F66" s="47">
        <v>1.0</v>
      </c>
      <c r="G66" s="47">
        <v>2.0</v>
      </c>
      <c r="H66" s="47">
        <v>3.0</v>
      </c>
      <c r="I66" s="47">
        <v>4.0</v>
      </c>
      <c r="J66" s="47">
        <v>5.0</v>
      </c>
      <c r="K66" s="47">
        <v>5.0</v>
      </c>
      <c r="L66" s="47">
        <v>5.0</v>
      </c>
      <c r="M66" s="47">
        <v>5.0</v>
      </c>
      <c r="N66" s="47">
        <v>5.0</v>
      </c>
      <c r="O66" s="47">
        <v>5.0</v>
      </c>
      <c r="P66" s="37"/>
      <c r="Q66" s="42">
        <f t="shared" si="25"/>
        <v>0</v>
      </c>
      <c r="R66" s="42">
        <f t="shared" si="26"/>
        <v>3</v>
      </c>
      <c r="S66" s="42">
        <f t="shared" si="27"/>
        <v>2</v>
      </c>
      <c r="T66" s="42">
        <f t="shared" si="28"/>
        <v>1</v>
      </c>
      <c r="U66" s="42">
        <f t="shared" si="29"/>
        <v>4</v>
      </c>
      <c r="V66" s="42">
        <f t="shared" si="30"/>
        <v>0</v>
      </c>
      <c r="W66" s="42">
        <f t="shared" si="31"/>
        <v>4</v>
      </c>
      <c r="X66" s="42">
        <f t="shared" si="32"/>
        <v>0</v>
      </c>
      <c r="Y66" s="42">
        <f t="shared" si="33"/>
        <v>4</v>
      </c>
      <c r="Z66" s="42">
        <f t="shared" si="34"/>
        <v>0</v>
      </c>
      <c r="AA66" s="52">
        <f t="shared" si="35"/>
        <v>18</v>
      </c>
      <c r="AB66" s="53">
        <f t="shared" si="36"/>
        <v>45</v>
      </c>
    </row>
    <row r="67" ht="15.75" customHeight="1">
      <c r="B67" s="43">
        <v>3.0</v>
      </c>
      <c r="C67" s="57" t="s">
        <v>203</v>
      </c>
      <c r="D67" s="43">
        <v>12.0</v>
      </c>
      <c r="E67" s="43" t="s">
        <v>202</v>
      </c>
      <c r="F67" s="47">
        <v>4.0</v>
      </c>
      <c r="G67" s="47">
        <v>1.0</v>
      </c>
      <c r="H67" s="47">
        <v>3.0</v>
      </c>
      <c r="I67" s="47">
        <v>4.0</v>
      </c>
      <c r="J67" s="47">
        <v>1.0</v>
      </c>
      <c r="K67" s="47">
        <v>4.0</v>
      </c>
      <c r="L67" s="47">
        <v>1.0</v>
      </c>
      <c r="M67" s="47">
        <v>5.0</v>
      </c>
      <c r="N67" s="47">
        <v>5.0</v>
      </c>
      <c r="O67" s="47">
        <v>2.0</v>
      </c>
      <c r="P67" s="37"/>
      <c r="Q67" s="42">
        <f t="shared" si="25"/>
        <v>3</v>
      </c>
      <c r="R67" s="42">
        <f t="shared" si="26"/>
        <v>4</v>
      </c>
      <c r="S67" s="42">
        <f t="shared" si="27"/>
        <v>2</v>
      </c>
      <c r="T67" s="42">
        <f t="shared" si="28"/>
        <v>1</v>
      </c>
      <c r="U67" s="42">
        <f t="shared" si="29"/>
        <v>0</v>
      </c>
      <c r="V67" s="42">
        <f t="shared" si="30"/>
        <v>1</v>
      </c>
      <c r="W67" s="42">
        <f t="shared" si="31"/>
        <v>0</v>
      </c>
      <c r="X67" s="42">
        <f t="shared" si="32"/>
        <v>0</v>
      </c>
      <c r="Y67" s="42">
        <f t="shared" si="33"/>
        <v>4</v>
      </c>
      <c r="Z67" s="42">
        <f t="shared" si="34"/>
        <v>3</v>
      </c>
      <c r="AA67" s="52">
        <f t="shared" si="35"/>
        <v>18</v>
      </c>
      <c r="AB67" s="53">
        <f t="shared" si="36"/>
        <v>45</v>
      </c>
    </row>
    <row r="68" ht="15.75" customHeight="1">
      <c r="B68" s="43">
        <v>4.0</v>
      </c>
      <c r="C68" s="57" t="s">
        <v>204</v>
      </c>
      <c r="D68" s="43">
        <v>19.0</v>
      </c>
      <c r="E68" s="43" t="s">
        <v>200</v>
      </c>
      <c r="F68" s="47">
        <v>5.0</v>
      </c>
      <c r="G68" s="47">
        <v>3.0</v>
      </c>
      <c r="H68" s="47">
        <v>4.0</v>
      </c>
      <c r="I68" s="47">
        <v>2.0</v>
      </c>
      <c r="J68" s="47">
        <v>4.0</v>
      </c>
      <c r="K68" s="47">
        <v>2.0</v>
      </c>
      <c r="L68" s="47">
        <v>3.0</v>
      </c>
      <c r="M68" s="47">
        <v>4.0</v>
      </c>
      <c r="N68" s="47">
        <v>4.0</v>
      </c>
      <c r="O68" s="47">
        <v>4.0</v>
      </c>
      <c r="P68" s="37"/>
      <c r="Q68" s="42">
        <f t="shared" si="25"/>
        <v>4</v>
      </c>
      <c r="R68" s="42">
        <f t="shared" si="26"/>
        <v>2</v>
      </c>
      <c r="S68" s="42">
        <f t="shared" si="27"/>
        <v>3</v>
      </c>
      <c r="T68" s="42">
        <f t="shared" si="28"/>
        <v>3</v>
      </c>
      <c r="U68" s="42">
        <f t="shared" si="29"/>
        <v>3</v>
      </c>
      <c r="V68" s="42">
        <f t="shared" si="30"/>
        <v>3</v>
      </c>
      <c r="W68" s="42">
        <f t="shared" si="31"/>
        <v>2</v>
      </c>
      <c r="X68" s="42">
        <f t="shared" si="32"/>
        <v>1</v>
      </c>
      <c r="Y68" s="42">
        <f t="shared" si="33"/>
        <v>3</v>
      </c>
      <c r="Z68" s="42">
        <f t="shared" si="34"/>
        <v>1</v>
      </c>
      <c r="AA68" s="52">
        <f t="shared" si="35"/>
        <v>25</v>
      </c>
      <c r="AB68" s="53">
        <f t="shared" si="36"/>
        <v>62.5</v>
      </c>
    </row>
    <row r="69" ht="15.75" customHeight="1">
      <c r="B69" s="43">
        <v>5.0</v>
      </c>
      <c r="C69" s="57" t="s">
        <v>205</v>
      </c>
      <c r="D69" s="43">
        <v>20.0</v>
      </c>
      <c r="E69" s="43" t="s">
        <v>202</v>
      </c>
      <c r="F69" s="47">
        <v>4.0</v>
      </c>
      <c r="G69" s="47">
        <v>3.0</v>
      </c>
      <c r="H69" s="47">
        <v>4.0</v>
      </c>
      <c r="I69" s="47">
        <v>4.0</v>
      </c>
      <c r="J69" s="47">
        <v>4.0</v>
      </c>
      <c r="K69" s="47">
        <v>3.0</v>
      </c>
      <c r="L69" s="47">
        <v>3.0</v>
      </c>
      <c r="M69" s="47">
        <v>3.0</v>
      </c>
      <c r="N69" s="47">
        <v>3.0</v>
      </c>
      <c r="O69" s="47">
        <v>3.0</v>
      </c>
      <c r="P69" s="37"/>
      <c r="Q69" s="42">
        <f t="shared" si="25"/>
        <v>3</v>
      </c>
      <c r="R69" s="42">
        <f t="shared" si="26"/>
        <v>2</v>
      </c>
      <c r="S69" s="42">
        <f t="shared" si="27"/>
        <v>3</v>
      </c>
      <c r="T69" s="42">
        <f t="shared" si="28"/>
        <v>1</v>
      </c>
      <c r="U69" s="42">
        <f t="shared" si="29"/>
        <v>3</v>
      </c>
      <c r="V69" s="42">
        <f t="shared" si="30"/>
        <v>2</v>
      </c>
      <c r="W69" s="42">
        <f t="shared" si="31"/>
        <v>2</v>
      </c>
      <c r="X69" s="42">
        <f t="shared" si="32"/>
        <v>2</v>
      </c>
      <c r="Y69" s="42">
        <f t="shared" si="33"/>
        <v>2</v>
      </c>
      <c r="Z69" s="42">
        <f t="shared" si="34"/>
        <v>2</v>
      </c>
      <c r="AA69" s="52">
        <f t="shared" si="35"/>
        <v>22</v>
      </c>
      <c r="AB69" s="53">
        <f t="shared" si="36"/>
        <v>55</v>
      </c>
    </row>
    <row r="70" ht="15.75" customHeight="1">
      <c r="B70" s="43">
        <v>6.0</v>
      </c>
      <c r="C70" s="57" t="s">
        <v>206</v>
      </c>
      <c r="D70" s="43">
        <v>21.0</v>
      </c>
      <c r="E70" s="43" t="s">
        <v>202</v>
      </c>
      <c r="F70" s="47">
        <v>4.0</v>
      </c>
      <c r="G70" s="47">
        <v>4.0</v>
      </c>
      <c r="H70" s="47">
        <v>2.0</v>
      </c>
      <c r="I70" s="47">
        <v>4.0</v>
      </c>
      <c r="J70" s="47">
        <v>4.0</v>
      </c>
      <c r="K70" s="47">
        <v>4.0</v>
      </c>
      <c r="L70" s="47">
        <v>2.0</v>
      </c>
      <c r="M70" s="47">
        <v>2.0</v>
      </c>
      <c r="N70" s="47">
        <v>3.0</v>
      </c>
      <c r="O70" s="47">
        <v>3.0</v>
      </c>
      <c r="P70" s="37"/>
      <c r="Q70" s="42">
        <f t="shared" si="25"/>
        <v>3</v>
      </c>
      <c r="R70" s="42">
        <f t="shared" si="26"/>
        <v>1</v>
      </c>
      <c r="S70" s="42">
        <f t="shared" si="27"/>
        <v>1</v>
      </c>
      <c r="T70" s="42">
        <f t="shared" si="28"/>
        <v>1</v>
      </c>
      <c r="U70" s="42">
        <f t="shared" si="29"/>
        <v>3</v>
      </c>
      <c r="V70" s="42">
        <f t="shared" si="30"/>
        <v>1</v>
      </c>
      <c r="W70" s="42">
        <f t="shared" si="31"/>
        <v>1</v>
      </c>
      <c r="X70" s="42">
        <f t="shared" si="32"/>
        <v>3</v>
      </c>
      <c r="Y70" s="42">
        <f t="shared" si="33"/>
        <v>2</v>
      </c>
      <c r="Z70" s="42">
        <f t="shared" si="34"/>
        <v>2</v>
      </c>
      <c r="AA70" s="52">
        <f t="shared" si="35"/>
        <v>18</v>
      </c>
      <c r="AB70" s="53">
        <f t="shared" si="36"/>
        <v>45</v>
      </c>
    </row>
    <row r="71" ht="15.75" customHeight="1">
      <c r="B71" s="43">
        <v>7.0</v>
      </c>
      <c r="C71" s="57" t="s">
        <v>207</v>
      </c>
      <c r="D71" s="43">
        <v>19.0</v>
      </c>
      <c r="E71" s="43" t="s">
        <v>202</v>
      </c>
      <c r="F71" s="47">
        <v>3.0</v>
      </c>
      <c r="G71" s="47">
        <v>2.0</v>
      </c>
      <c r="H71" s="47">
        <v>4.0</v>
      </c>
      <c r="I71" s="47">
        <v>2.0</v>
      </c>
      <c r="J71" s="47">
        <v>3.0</v>
      </c>
      <c r="K71" s="47">
        <v>2.0</v>
      </c>
      <c r="L71" s="47">
        <v>4.0</v>
      </c>
      <c r="M71" s="47">
        <v>4.0</v>
      </c>
      <c r="N71" s="47">
        <v>4.0</v>
      </c>
      <c r="O71" s="47">
        <v>4.0</v>
      </c>
      <c r="P71" s="37"/>
      <c r="Q71" s="42">
        <f t="shared" si="25"/>
        <v>2</v>
      </c>
      <c r="R71" s="42">
        <f t="shared" si="26"/>
        <v>3</v>
      </c>
      <c r="S71" s="42">
        <f t="shared" si="27"/>
        <v>3</v>
      </c>
      <c r="T71" s="42">
        <f t="shared" si="28"/>
        <v>3</v>
      </c>
      <c r="U71" s="42">
        <f t="shared" si="29"/>
        <v>2</v>
      </c>
      <c r="V71" s="42">
        <f t="shared" si="30"/>
        <v>3</v>
      </c>
      <c r="W71" s="42">
        <f t="shared" si="31"/>
        <v>3</v>
      </c>
      <c r="X71" s="42">
        <f t="shared" si="32"/>
        <v>1</v>
      </c>
      <c r="Y71" s="42">
        <f t="shared" si="33"/>
        <v>3</v>
      </c>
      <c r="Z71" s="42">
        <f t="shared" si="34"/>
        <v>1</v>
      </c>
      <c r="AA71" s="52">
        <f t="shared" si="35"/>
        <v>24</v>
      </c>
      <c r="AB71" s="53">
        <f t="shared" si="36"/>
        <v>60</v>
      </c>
    </row>
    <row r="72" ht="15.75" customHeight="1">
      <c r="B72" s="43">
        <v>8.0</v>
      </c>
      <c r="C72" s="57" t="s">
        <v>208</v>
      </c>
      <c r="D72" s="43">
        <v>20.0</v>
      </c>
      <c r="E72" s="43" t="s">
        <v>202</v>
      </c>
      <c r="F72" s="47">
        <v>1.0</v>
      </c>
      <c r="G72" s="47">
        <v>1.0</v>
      </c>
      <c r="H72" s="47">
        <v>5.0</v>
      </c>
      <c r="I72" s="47">
        <v>1.0</v>
      </c>
      <c r="J72" s="47">
        <v>3.0</v>
      </c>
      <c r="K72" s="47">
        <v>1.0</v>
      </c>
      <c r="L72" s="47">
        <v>5.0</v>
      </c>
      <c r="M72" s="47">
        <v>5.0</v>
      </c>
      <c r="N72" s="47">
        <v>5.0</v>
      </c>
      <c r="O72" s="47">
        <v>5.0</v>
      </c>
      <c r="P72" s="37"/>
      <c r="Q72" s="42">
        <f t="shared" si="25"/>
        <v>0</v>
      </c>
      <c r="R72" s="42">
        <f t="shared" si="26"/>
        <v>4</v>
      </c>
      <c r="S72" s="42">
        <f t="shared" si="27"/>
        <v>4</v>
      </c>
      <c r="T72" s="42">
        <f t="shared" si="28"/>
        <v>4</v>
      </c>
      <c r="U72" s="42">
        <f t="shared" si="29"/>
        <v>2</v>
      </c>
      <c r="V72" s="42">
        <f t="shared" si="30"/>
        <v>4</v>
      </c>
      <c r="W72" s="42">
        <f t="shared" si="31"/>
        <v>4</v>
      </c>
      <c r="X72" s="42">
        <f t="shared" si="32"/>
        <v>0</v>
      </c>
      <c r="Y72" s="42">
        <f t="shared" si="33"/>
        <v>4</v>
      </c>
      <c r="Z72" s="42">
        <f t="shared" si="34"/>
        <v>0</v>
      </c>
      <c r="AA72" s="52">
        <f t="shared" si="35"/>
        <v>26</v>
      </c>
      <c r="AB72" s="53">
        <f t="shared" si="36"/>
        <v>65</v>
      </c>
    </row>
    <row r="73" ht="15.75" customHeight="1">
      <c r="B73" s="43">
        <v>9.0</v>
      </c>
      <c r="C73" s="57" t="s">
        <v>209</v>
      </c>
      <c r="D73" s="43">
        <v>22.0</v>
      </c>
      <c r="E73" s="43" t="s">
        <v>202</v>
      </c>
      <c r="F73" s="47">
        <v>1.0</v>
      </c>
      <c r="G73" s="47">
        <v>2.0</v>
      </c>
      <c r="H73" s="47">
        <v>5.0</v>
      </c>
      <c r="I73" s="47">
        <v>1.0</v>
      </c>
      <c r="J73" s="47">
        <v>5.0</v>
      </c>
      <c r="K73" s="47">
        <v>2.0</v>
      </c>
      <c r="L73" s="47">
        <v>4.0</v>
      </c>
      <c r="M73" s="47">
        <v>4.0</v>
      </c>
      <c r="N73" s="47">
        <v>5.0</v>
      </c>
      <c r="O73" s="47">
        <v>5.0</v>
      </c>
      <c r="P73" s="37"/>
      <c r="Q73" s="42">
        <f t="shared" si="25"/>
        <v>0</v>
      </c>
      <c r="R73" s="42">
        <f t="shared" si="26"/>
        <v>3</v>
      </c>
      <c r="S73" s="42">
        <f t="shared" si="27"/>
        <v>4</v>
      </c>
      <c r="T73" s="42">
        <f t="shared" si="28"/>
        <v>4</v>
      </c>
      <c r="U73" s="42">
        <f t="shared" si="29"/>
        <v>4</v>
      </c>
      <c r="V73" s="42">
        <f t="shared" si="30"/>
        <v>3</v>
      </c>
      <c r="W73" s="42">
        <f t="shared" si="31"/>
        <v>3</v>
      </c>
      <c r="X73" s="42">
        <f t="shared" si="32"/>
        <v>1</v>
      </c>
      <c r="Y73" s="42">
        <f t="shared" si="33"/>
        <v>4</v>
      </c>
      <c r="Z73" s="42">
        <f t="shared" si="34"/>
        <v>0</v>
      </c>
      <c r="AA73" s="52">
        <f t="shared" si="35"/>
        <v>26</v>
      </c>
      <c r="AB73" s="53">
        <f t="shared" si="36"/>
        <v>65</v>
      </c>
    </row>
    <row r="74" ht="15.75" customHeight="1">
      <c r="B74" s="43">
        <v>10.0</v>
      </c>
      <c r="C74" s="57" t="s">
        <v>210</v>
      </c>
      <c r="D74" s="43">
        <v>22.0</v>
      </c>
      <c r="E74" s="43" t="s">
        <v>200</v>
      </c>
      <c r="F74" s="47">
        <v>4.0</v>
      </c>
      <c r="G74" s="47">
        <v>3.0</v>
      </c>
      <c r="H74" s="47">
        <v>4.0</v>
      </c>
      <c r="I74" s="47">
        <v>3.0</v>
      </c>
      <c r="J74" s="47">
        <v>3.0</v>
      </c>
      <c r="K74" s="47">
        <v>3.0</v>
      </c>
      <c r="L74" s="47">
        <v>5.0</v>
      </c>
      <c r="M74" s="47">
        <v>5.0</v>
      </c>
      <c r="N74" s="47">
        <v>4.0</v>
      </c>
      <c r="O74" s="47">
        <v>4.0</v>
      </c>
      <c r="P74" s="37"/>
      <c r="Q74" s="42">
        <f t="shared" si="25"/>
        <v>3</v>
      </c>
      <c r="R74" s="42">
        <f t="shared" si="26"/>
        <v>2</v>
      </c>
      <c r="S74" s="42">
        <f t="shared" si="27"/>
        <v>3</v>
      </c>
      <c r="T74" s="42">
        <f t="shared" si="28"/>
        <v>2</v>
      </c>
      <c r="U74" s="42">
        <f t="shared" si="29"/>
        <v>2</v>
      </c>
      <c r="V74" s="42">
        <f t="shared" si="30"/>
        <v>2</v>
      </c>
      <c r="W74" s="42">
        <f t="shared" si="31"/>
        <v>4</v>
      </c>
      <c r="X74" s="42">
        <f t="shared" si="32"/>
        <v>0</v>
      </c>
      <c r="Y74" s="42">
        <f t="shared" si="33"/>
        <v>3</v>
      </c>
      <c r="Z74" s="42">
        <f t="shared" si="34"/>
        <v>1</v>
      </c>
      <c r="AA74" s="52">
        <f t="shared" si="35"/>
        <v>22</v>
      </c>
      <c r="AB74" s="53">
        <f t="shared" si="36"/>
        <v>55</v>
      </c>
    </row>
    <row r="75" ht="15.75" customHeight="1">
      <c r="B75" s="43">
        <v>11.0</v>
      </c>
      <c r="C75" s="57" t="s">
        <v>211</v>
      </c>
      <c r="D75" s="43">
        <v>21.0</v>
      </c>
      <c r="E75" s="43" t="s">
        <v>200</v>
      </c>
      <c r="F75" s="47">
        <v>3.0</v>
      </c>
      <c r="G75" s="47">
        <v>2.0</v>
      </c>
      <c r="H75" s="47">
        <v>3.0</v>
      </c>
      <c r="I75" s="47">
        <v>1.0</v>
      </c>
      <c r="J75" s="47">
        <v>4.0</v>
      </c>
      <c r="K75" s="47">
        <v>2.0</v>
      </c>
      <c r="L75" s="47">
        <v>3.0</v>
      </c>
      <c r="M75" s="47">
        <v>3.0</v>
      </c>
      <c r="N75" s="47">
        <v>3.0</v>
      </c>
      <c r="O75" s="47">
        <v>3.0</v>
      </c>
      <c r="P75" s="37"/>
      <c r="Q75" s="42">
        <f t="shared" si="25"/>
        <v>2</v>
      </c>
      <c r="R75" s="42">
        <f t="shared" si="26"/>
        <v>3</v>
      </c>
      <c r="S75" s="42">
        <f t="shared" si="27"/>
        <v>2</v>
      </c>
      <c r="T75" s="42">
        <f t="shared" si="28"/>
        <v>4</v>
      </c>
      <c r="U75" s="42">
        <f t="shared" si="29"/>
        <v>3</v>
      </c>
      <c r="V75" s="42">
        <f t="shared" si="30"/>
        <v>3</v>
      </c>
      <c r="W75" s="42">
        <f t="shared" si="31"/>
        <v>2</v>
      </c>
      <c r="X75" s="42">
        <f t="shared" si="32"/>
        <v>2</v>
      </c>
      <c r="Y75" s="42">
        <f t="shared" si="33"/>
        <v>2</v>
      </c>
      <c r="Z75" s="42">
        <f t="shared" si="34"/>
        <v>2</v>
      </c>
      <c r="AA75" s="52">
        <f t="shared" si="35"/>
        <v>25</v>
      </c>
      <c r="AB75" s="53">
        <f t="shared" si="36"/>
        <v>62.5</v>
      </c>
    </row>
    <row r="76" ht="15.75" customHeight="1">
      <c r="B76" s="43">
        <v>12.0</v>
      </c>
      <c r="C76" s="57" t="s">
        <v>212</v>
      </c>
      <c r="D76" s="43">
        <v>21.0</v>
      </c>
      <c r="E76" s="43" t="s">
        <v>200</v>
      </c>
      <c r="F76" s="47">
        <v>2.0</v>
      </c>
      <c r="G76" s="47">
        <v>1.0</v>
      </c>
      <c r="H76" s="47">
        <v>4.0</v>
      </c>
      <c r="I76" s="47">
        <v>1.0</v>
      </c>
      <c r="J76" s="47">
        <v>4.0</v>
      </c>
      <c r="K76" s="47">
        <v>2.0</v>
      </c>
      <c r="L76" s="47">
        <v>4.0</v>
      </c>
      <c r="M76" s="47">
        <v>4.0</v>
      </c>
      <c r="N76" s="47">
        <v>5.0</v>
      </c>
      <c r="O76" s="47">
        <v>5.0</v>
      </c>
      <c r="P76" s="37"/>
      <c r="Q76" s="42">
        <f t="shared" si="25"/>
        <v>1</v>
      </c>
      <c r="R76" s="42">
        <f t="shared" si="26"/>
        <v>4</v>
      </c>
      <c r="S76" s="42">
        <f t="shared" si="27"/>
        <v>3</v>
      </c>
      <c r="T76" s="42">
        <f t="shared" si="28"/>
        <v>4</v>
      </c>
      <c r="U76" s="42">
        <f t="shared" si="29"/>
        <v>3</v>
      </c>
      <c r="V76" s="42">
        <f t="shared" si="30"/>
        <v>3</v>
      </c>
      <c r="W76" s="42">
        <f t="shared" si="31"/>
        <v>3</v>
      </c>
      <c r="X76" s="42">
        <f t="shared" si="32"/>
        <v>1</v>
      </c>
      <c r="Y76" s="42">
        <f t="shared" si="33"/>
        <v>4</v>
      </c>
      <c r="Z76" s="42">
        <f t="shared" si="34"/>
        <v>0</v>
      </c>
      <c r="AA76" s="52">
        <f t="shared" si="35"/>
        <v>26</v>
      </c>
      <c r="AB76" s="53">
        <f t="shared" si="36"/>
        <v>65</v>
      </c>
    </row>
    <row r="77" ht="15.75" customHeight="1">
      <c r="B77" s="43">
        <v>13.0</v>
      </c>
      <c r="C77" s="57" t="s">
        <v>213</v>
      </c>
      <c r="D77" s="43">
        <v>24.0</v>
      </c>
      <c r="E77" s="43" t="s">
        <v>202</v>
      </c>
      <c r="F77" s="47">
        <v>5.0</v>
      </c>
      <c r="G77" s="47">
        <v>4.0</v>
      </c>
      <c r="H77" s="47">
        <v>4.0</v>
      </c>
      <c r="I77" s="47">
        <v>4.0</v>
      </c>
      <c r="J77" s="47">
        <v>5.0</v>
      </c>
      <c r="K77" s="47">
        <v>4.0</v>
      </c>
      <c r="L77" s="47">
        <v>5.0</v>
      </c>
      <c r="M77" s="47">
        <v>4.0</v>
      </c>
      <c r="N77" s="47">
        <v>5.0</v>
      </c>
      <c r="O77" s="47">
        <v>4.0</v>
      </c>
      <c r="P77" s="37"/>
      <c r="Q77" s="42">
        <f t="shared" si="25"/>
        <v>4</v>
      </c>
      <c r="R77" s="42">
        <f t="shared" si="26"/>
        <v>1</v>
      </c>
      <c r="S77" s="42">
        <f t="shared" si="27"/>
        <v>3</v>
      </c>
      <c r="T77" s="42">
        <f t="shared" si="28"/>
        <v>1</v>
      </c>
      <c r="U77" s="42">
        <f t="shared" si="29"/>
        <v>4</v>
      </c>
      <c r="V77" s="42">
        <f t="shared" si="30"/>
        <v>1</v>
      </c>
      <c r="W77" s="42">
        <f t="shared" si="31"/>
        <v>4</v>
      </c>
      <c r="X77" s="42">
        <f t="shared" si="32"/>
        <v>1</v>
      </c>
      <c r="Y77" s="42">
        <f t="shared" si="33"/>
        <v>4</v>
      </c>
      <c r="Z77" s="42">
        <f t="shared" si="34"/>
        <v>1</v>
      </c>
      <c r="AA77" s="52">
        <f t="shared" si="35"/>
        <v>24</v>
      </c>
      <c r="AB77" s="53">
        <f t="shared" si="36"/>
        <v>60</v>
      </c>
    </row>
    <row r="78" ht="15.75" customHeight="1">
      <c r="B78" s="43">
        <v>14.0</v>
      </c>
      <c r="C78" s="57" t="s">
        <v>214</v>
      </c>
      <c r="D78" s="43">
        <v>18.0</v>
      </c>
      <c r="E78" s="43" t="s">
        <v>200</v>
      </c>
      <c r="F78" s="47">
        <v>3.0</v>
      </c>
      <c r="G78" s="47">
        <v>2.0</v>
      </c>
      <c r="H78" s="47">
        <v>4.0</v>
      </c>
      <c r="I78" s="47">
        <v>2.0</v>
      </c>
      <c r="J78" s="47">
        <v>3.0</v>
      </c>
      <c r="K78" s="47">
        <v>2.0</v>
      </c>
      <c r="L78" s="47">
        <v>4.0</v>
      </c>
      <c r="M78" s="47">
        <v>2.0</v>
      </c>
      <c r="N78" s="47">
        <v>3.0</v>
      </c>
      <c r="O78" s="47">
        <v>2.0</v>
      </c>
      <c r="P78" s="37"/>
      <c r="Q78" s="42">
        <f t="shared" si="25"/>
        <v>2</v>
      </c>
      <c r="R78" s="42">
        <f t="shared" si="26"/>
        <v>3</v>
      </c>
      <c r="S78" s="42">
        <f t="shared" si="27"/>
        <v>3</v>
      </c>
      <c r="T78" s="42">
        <f t="shared" si="28"/>
        <v>3</v>
      </c>
      <c r="U78" s="42">
        <f t="shared" si="29"/>
        <v>2</v>
      </c>
      <c r="V78" s="42">
        <f t="shared" si="30"/>
        <v>3</v>
      </c>
      <c r="W78" s="42">
        <f t="shared" si="31"/>
        <v>3</v>
      </c>
      <c r="X78" s="42">
        <f t="shared" si="32"/>
        <v>3</v>
      </c>
      <c r="Y78" s="42">
        <f t="shared" si="33"/>
        <v>2</v>
      </c>
      <c r="Z78" s="42">
        <f t="shared" si="34"/>
        <v>3</v>
      </c>
      <c r="AA78" s="52">
        <f t="shared" si="35"/>
        <v>27</v>
      </c>
      <c r="AB78" s="53">
        <f t="shared" si="36"/>
        <v>67.5</v>
      </c>
    </row>
    <row r="79" ht="15.75" customHeight="1">
      <c r="B79" s="43">
        <v>15.0</v>
      </c>
      <c r="C79" s="57" t="s">
        <v>215</v>
      </c>
      <c r="D79" s="43">
        <v>35.0</v>
      </c>
      <c r="E79" s="43" t="s">
        <v>202</v>
      </c>
      <c r="F79" s="47">
        <v>1.0</v>
      </c>
      <c r="G79" s="47">
        <v>5.0</v>
      </c>
      <c r="H79" s="47">
        <v>1.0</v>
      </c>
      <c r="I79" s="47">
        <v>5.0</v>
      </c>
      <c r="J79" s="47">
        <v>1.0</v>
      </c>
      <c r="K79" s="47">
        <v>5.0</v>
      </c>
      <c r="L79" s="47">
        <v>1.0</v>
      </c>
      <c r="M79" s="47">
        <v>5.0</v>
      </c>
      <c r="N79" s="47">
        <v>1.0</v>
      </c>
      <c r="O79" s="47">
        <v>5.0</v>
      </c>
      <c r="P79" s="37"/>
      <c r="Q79" s="42">
        <f t="shared" si="25"/>
        <v>0</v>
      </c>
      <c r="R79" s="42">
        <f t="shared" si="26"/>
        <v>0</v>
      </c>
      <c r="S79" s="42">
        <f t="shared" si="27"/>
        <v>0</v>
      </c>
      <c r="T79" s="42">
        <f t="shared" si="28"/>
        <v>0</v>
      </c>
      <c r="U79" s="42">
        <f t="shared" si="29"/>
        <v>0</v>
      </c>
      <c r="V79" s="42">
        <f t="shared" si="30"/>
        <v>0</v>
      </c>
      <c r="W79" s="42">
        <f t="shared" si="31"/>
        <v>0</v>
      </c>
      <c r="X79" s="42">
        <f t="shared" si="32"/>
        <v>0</v>
      </c>
      <c r="Y79" s="42">
        <f t="shared" si="33"/>
        <v>0</v>
      </c>
      <c r="Z79" s="42">
        <f t="shared" si="34"/>
        <v>0</v>
      </c>
      <c r="AA79" s="52">
        <f t="shared" si="35"/>
        <v>0</v>
      </c>
      <c r="AB79" s="53">
        <f t="shared" si="36"/>
        <v>0</v>
      </c>
    </row>
    <row r="80" ht="15.75" customHeight="1">
      <c r="B80" s="43">
        <v>16.0</v>
      </c>
      <c r="C80" s="57" t="s">
        <v>216</v>
      </c>
      <c r="D80" s="43">
        <v>29.0</v>
      </c>
      <c r="E80" s="43" t="s">
        <v>200</v>
      </c>
      <c r="F80" s="47">
        <v>4.0</v>
      </c>
      <c r="G80" s="47">
        <v>3.0</v>
      </c>
      <c r="H80" s="47">
        <v>2.0</v>
      </c>
      <c r="I80" s="47">
        <v>3.0</v>
      </c>
      <c r="J80" s="47">
        <v>4.0</v>
      </c>
      <c r="K80" s="47">
        <v>2.0</v>
      </c>
      <c r="L80" s="47">
        <v>2.0</v>
      </c>
      <c r="M80" s="47">
        <v>3.0</v>
      </c>
      <c r="N80" s="47">
        <v>4.0</v>
      </c>
      <c r="O80" s="47">
        <v>2.0</v>
      </c>
      <c r="P80" s="37"/>
      <c r="Q80" s="42">
        <f t="shared" si="25"/>
        <v>3</v>
      </c>
      <c r="R80" s="42">
        <f t="shared" si="26"/>
        <v>2</v>
      </c>
      <c r="S80" s="42">
        <f t="shared" si="27"/>
        <v>1</v>
      </c>
      <c r="T80" s="42">
        <f t="shared" si="28"/>
        <v>2</v>
      </c>
      <c r="U80" s="42">
        <f t="shared" si="29"/>
        <v>3</v>
      </c>
      <c r="V80" s="42">
        <f t="shared" si="30"/>
        <v>3</v>
      </c>
      <c r="W80" s="42">
        <f t="shared" si="31"/>
        <v>1</v>
      </c>
      <c r="X80" s="42">
        <f t="shared" si="32"/>
        <v>2</v>
      </c>
      <c r="Y80" s="42">
        <f t="shared" si="33"/>
        <v>3</v>
      </c>
      <c r="Z80" s="42">
        <f t="shared" si="34"/>
        <v>3</v>
      </c>
      <c r="AA80" s="52">
        <f t="shared" si="35"/>
        <v>23</v>
      </c>
      <c r="AB80" s="53">
        <f t="shared" si="36"/>
        <v>57.5</v>
      </c>
    </row>
    <row r="81" ht="15.75" customHeight="1">
      <c r="B81" s="43">
        <v>17.0</v>
      </c>
      <c r="C81" s="57" t="s">
        <v>217</v>
      </c>
      <c r="D81" s="43">
        <v>22.0</v>
      </c>
      <c r="E81" s="43" t="s">
        <v>200</v>
      </c>
      <c r="F81" s="47">
        <v>2.0</v>
      </c>
      <c r="G81" s="47">
        <v>1.0</v>
      </c>
      <c r="H81" s="47">
        <v>3.0</v>
      </c>
      <c r="I81" s="47">
        <v>2.0</v>
      </c>
      <c r="J81" s="47">
        <v>2.0</v>
      </c>
      <c r="K81" s="47">
        <v>1.0</v>
      </c>
      <c r="L81" s="47">
        <v>3.0</v>
      </c>
      <c r="M81" s="47">
        <v>2.0</v>
      </c>
      <c r="N81" s="47">
        <v>2.0</v>
      </c>
      <c r="O81" s="47">
        <v>1.0</v>
      </c>
      <c r="P81" s="37"/>
      <c r="Q81" s="42">
        <f t="shared" si="25"/>
        <v>1</v>
      </c>
      <c r="R81" s="42">
        <f t="shared" si="26"/>
        <v>4</v>
      </c>
      <c r="S81" s="42">
        <f t="shared" si="27"/>
        <v>2</v>
      </c>
      <c r="T81" s="42">
        <f t="shared" si="28"/>
        <v>3</v>
      </c>
      <c r="U81" s="42">
        <f t="shared" si="29"/>
        <v>1</v>
      </c>
      <c r="V81" s="42">
        <f t="shared" si="30"/>
        <v>4</v>
      </c>
      <c r="W81" s="42">
        <f t="shared" si="31"/>
        <v>2</v>
      </c>
      <c r="X81" s="42">
        <f t="shared" si="32"/>
        <v>3</v>
      </c>
      <c r="Y81" s="42">
        <f t="shared" si="33"/>
        <v>1</v>
      </c>
      <c r="Z81" s="42">
        <f t="shared" si="34"/>
        <v>4</v>
      </c>
      <c r="AA81" s="52">
        <f t="shared" si="35"/>
        <v>25</v>
      </c>
      <c r="AB81" s="53">
        <f t="shared" si="36"/>
        <v>62.5</v>
      </c>
    </row>
    <row r="82" ht="15.75" customHeight="1">
      <c r="B82" s="43">
        <v>18.0</v>
      </c>
      <c r="C82" s="57" t="s">
        <v>218</v>
      </c>
      <c r="D82" s="43">
        <v>19.0</v>
      </c>
      <c r="E82" s="43" t="s">
        <v>202</v>
      </c>
      <c r="F82" s="47">
        <v>5.0</v>
      </c>
      <c r="G82" s="47">
        <v>5.0</v>
      </c>
      <c r="H82" s="47">
        <v>5.0</v>
      </c>
      <c r="I82" s="47">
        <v>5.0</v>
      </c>
      <c r="J82" s="47">
        <v>5.0</v>
      </c>
      <c r="K82" s="47">
        <v>5.0</v>
      </c>
      <c r="L82" s="47">
        <v>5.0</v>
      </c>
      <c r="M82" s="47">
        <v>5.0</v>
      </c>
      <c r="N82" s="47">
        <v>5.0</v>
      </c>
      <c r="O82" s="47">
        <v>5.0</v>
      </c>
      <c r="P82" s="37"/>
      <c r="Q82" s="42">
        <f t="shared" si="25"/>
        <v>4</v>
      </c>
      <c r="R82" s="42">
        <f t="shared" si="26"/>
        <v>0</v>
      </c>
      <c r="S82" s="42">
        <f t="shared" si="27"/>
        <v>4</v>
      </c>
      <c r="T82" s="42">
        <f t="shared" si="28"/>
        <v>0</v>
      </c>
      <c r="U82" s="42">
        <f t="shared" si="29"/>
        <v>4</v>
      </c>
      <c r="V82" s="42">
        <f t="shared" si="30"/>
        <v>0</v>
      </c>
      <c r="W82" s="42">
        <f t="shared" si="31"/>
        <v>4</v>
      </c>
      <c r="X82" s="42">
        <f t="shared" si="32"/>
        <v>0</v>
      </c>
      <c r="Y82" s="42">
        <f t="shared" si="33"/>
        <v>4</v>
      </c>
      <c r="Z82" s="42">
        <f t="shared" si="34"/>
        <v>0</v>
      </c>
      <c r="AA82" s="52">
        <f t="shared" si="35"/>
        <v>20</v>
      </c>
      <c r="AB82" s="53">
        <f t="shared" si="36"/>
        <v>50</v>
      </c>
    </row>
    <row r="83" ht="15.75" customHeight="1">
      <c r="B83" s="43">
        <v>19.0</v>
      </c>
      <c r="C83" s="57" t="s">
        <v>219</v>
      </c>
      <c r="D83" s="43">
        <v>30.0</v>
      </c>
      <c r="E83" s="43" t="s">
        <v>202</v>
      </c>
      <c r="F83" s="47">
        <v>2.0</v>
      </c>
      <c r="G83" s="47">
        <v>3.0</v>
      </c>
      <c r="H83" s="47">
        <v>2.0</v>
      </c>
      <c r="I83" s="47">
        <v>3.0</v>
      </c>
      <c r="J83" s="47">
        <v>2.0</v>
      </c>
      <c r="K83" s="47">
        <v>3.0</v>
      </c>
      <c r="L83" s="47">
        <v>2.0</v>
      </c>
      <c r="M83" s="47">
        <v>3.0</v>
      </c>
      <c r="N83" s="47">
        <v>2.0</v>
      </c>
      <c r="O83" s="47">
        <v>3.0</v>
      </c>
      <c r="P83" s="37"/>
      <c r="Q83" s="42">
        <f t="shared" si="25"/>
        <v>1</v>
      </c>
      <c r="R83" s="42">
        <f t="shared" si="26"/>
        <v>2</v>
      </c>
      <c r="S83" s="42">
        <f t="shared" si="27"/>
        <v>1</v>
      </c>
      <c r="T83" s="42">
        <f t="shared" si="28"/>
        <v>2</v>
      </c>
      <c r="U83" s="42">
        <f t="shared" si="29"/>
        <v>1</v>
      </c>
      <c r="V83" s="42">
        <f t="shared" si="30"/>
        <v>2</v>
      </c>
      <c r="W83" s="42">
        <f t="shared" si="31"/>
        <v>1</v>
      </c>
      <c r="X83" s="42">
        <f t="shared" si="32"/>
        <v>2</v>
      </c>
      <c r="Y83" s="42">
        <f t="shared" si="33"/>
        <v>1</v>
      </c>
      <c r="Z83" s="42">
        <f t="shared" si="34"/>
        <v>2</v>
      </c>
      <c r="AA83" s="52">
        <f t="shared" si="35"/>
        <v>15</v>
      </c>
      <c r="AB83" s="53">
        <f t="shared" si="36"/>
        <v>37.5</v>
      </c>
    </row>
    <row r="84" ht="15.75" customHeight="1">
      <c r="B84" s="43">
        <v>20.0</v>
      </c>
      <c r="C84" s="57" t="s">
        <v>220</v>
      </c>
      <c r="D84" s="43">
        <v>16.0</v>
      </c>
      <c r="E84" s="43" t="s">
        <v>200</v>
      </c>
      <c r="F84" s="47">
        <v>3.0</v>
      </c>
      <c r="G84" s="47">
        <v>1.0</v>
      </c>
      <c r="H84" s="47">
        <v>3.0</v>
      </c>
      <c r="I84" s="47">
        <v>1.0</v>
      </c>
      <c r="J84" s="47">
        <v>3.0</v>
      </c>
      <c r="K84" s="47">
        <v>1.0</v>
      </c>
      <c r="L84" s="47">
        <v>3.0</v>
      </c>
      <c r="M84" s="47">
        <v>1.0</v>
      </c>
      <c r="N84" s="47">
        <v>3.0</v>
      </c>
      <c r="O84" s="47">
        <v>1.0</v>
      </c>
      <c r="P84" s="37"/>
      <c r="Q84" s="42">
        <f t="shared" si="25"/>
        <v>2</v>
      </c>
      <c r="R84" s="42">
        <f t="shared" si="26"/>
        <v>4</v>
      </c>
      <c r="S84" s="42">
        <f t="shared" si="27"/>
        <v>2</v>
      </c>
      <c r="T84" s="42">
        <f t="shared" si="28"/>
        <v>4</v>
      </c>
      <c r="U84" s="42">
        <f t="shared" si="29"/>
        <v>2</v>
      </c>
      <c r="V84" s="42">
        <f t="shared" si="30"/>
        <v>4</v>
      </c>
      <c r="W84" s="42">
        <f t="shared" si="31"/>
        <v>2</v>
      </c>
      <c r="X84" s="42">
        <f t="shared" si="32"/>
        <v>4</v>
      </c>
      <c r="Y84" s="42">
        <f t="shared" si="33"/>
        <v>2</v>
      </c>
      <c r="Z84" s="42">
        <f t="shared" si="34"/>
        <v>4</v>
      </c>
      <c r="AA84" s="52">
        <f t="shared" si="35"/>
        <v>30</v>
      </c>
      <c r="AB84" s="53">
        <f t="shared" si="36"/>
        <v>75</v>
      </c>
    </row>
    <row r="85" ht="15.75" customHeight="1">
      <c r="B85" s="43">
        <v>21.0</v>
      </c>
      <c r="C85" s="57" t="s">
        <v>221</v>
      </c>
      <c r="D85" s="43">
        <v>22.0</v>
      </c>
      <c r="E85" s="43" t="s">
        <v>200</v>
      </c>
      <c r="F85" s="47">
        <v>4.0</v>
      </c>
      <c r="G85" s="47">
        <v>3.0</v>
      </c>
      <c r="H85" s="47">
        <v>4.0</v>
      </c>
      <c r="I85" s="47">
        <v>3.0</v>
      </c>
      <c r="J85" s="47">
        <v>3.0</v>
      </c>
      <c r="K85" s="47">
        <v>3.0</v>
      </c>
      <c r="L85" s="47">
        <v>5.0</v>
      </c>
      <c r="M85" s="47">
        <v>5.0</v>
      </c>
      <c r="N85" s="47">
        <v>4.0</v>
      </c>
      <c r="O85" s="47">
        <v>4.0</v>
      </c>
      <c r="P85" s="37"/>
      <c r="Q85" s="42">
        <f t="shared" si="25"/>
        <v>3</v>
      </c>
      <c r="R85" s="42">
        <f t="shared" si="26"/>
        <v>2</v>
      </c>
      <c r="S85" s="42">
        <f t="shared" si="27"/>
        <v>3</v>
      </c>
      <c r="T85" s="42">
        <f t="shared" si="28"/>
        <v>2</v>
      </c>
      <c r="U85" s="42">
        <f t="shared" si="29"/>
        <v>2</v>
      </c>
      <c r="V85" s="42">
        <f t="shared" si="30"/>
        <v>2</v>
      </c>
      <c r="W85" s="42">
        <f t="shared" si="31"/>
        <v>4</v>
      </c>
      <c r="X85" s="42">
        <f t="shared" si="32"/>
        <v>0</v>
      </c>
      <c r="Y85" s="42">
        <f t="shared" si="33"/>
        <v>3</v>
      </c>
      <c r="Z85" s="42">
        <f t="shared" si="34"/>
        <v>1</v>
      </c>
      <c r="AA85" s="52">
        <f t="shared" si="35"/>
        <v>22</v>
      </c>
      <c r="AB85" s="53">
        <f t="shared" si="36"/>
        <v>55</v>
      </c>
    </row>
    <row r="86" ht="15.75" customHeight="1">
      <c r="B86" s="43">
        <v>22.0</v>
      </c>
      <c r="C86" s="57" t="s">
        <v>222</v>
      </c>
      <c r="D86" s="43">
        <v>22.0</v>
      </c>
      <c r="E86" s="43" t="s">
        <v>202</v>
      </c>
      <c r="F86" s="47">
        <v>2.0</v>
      </c>
      <c r="G86" s="47">
        <v>1.0</v>
      </c>
      <c r="H86" s="47">
        <v>3.0</v>
      </c>
      <c r="I86" s="47">
        <v>2.0</v>
      </c>
      <c r="J86" s="47">
        <v>2.0</v>
      </c>
      <c r="K86" s="47">
        <v>1.0</v>
      </c>
      <c r="L86" s="47">
        <v>3.0</v>
      </c>
      <c r="M86" s="47">
        <v>2.0</v>
      </c>
      <c r="N86" s="47">
        <v>2.0</v>
      </c>
      <c r="O86" s="47">
        <v>1.0</v>
      </c>
      <c r="P86" s="37"/>
      <c r="Q86" s="42">
        <f t="shared" si="25"/>
        <v>1</v>
      </c>
      <c r="R86" s="42">
        <f t="shared" si="26"/>
        <v>4</v>
      </c>
      <c r="S86" s="42">
        <f t="shared" si="27"/>
        <v>2</v>
      </c>
      <c r="T86" s="42">
        <f t="shared" si="28"/>
        <v>3</v>
      </c>
      <c r="U86" s="42">
        <f t="shared" si="29"/>
        <v>1</v>
      </c>
      <c r="V86" s="42">
        <f t="shared" si="30"/>
        <v>4</v>
      </c>
      <c r="W86" s="42">
        <f t="shared" si="31"/>
        <v>2</v>
      </c>
      <c r="X86" s="42">
        <f t="shared" si="32"/>
        <v>3</v>
      </c>
      <c r="Y86" s="42">
        <f t="shared" si="33"/>
        <v>1</v>
      </c>
      <c r="Z86" s="42">
        <f t="shared" si="34"/>
        <v>4</v>
      </c>
      <c r="AA86" s="52">
        <f t="shared" si="35"/>
        <v>25</v>
      </c>
      <c r="AB86" s="53">
        <f t="shared" si="36"/>
        <v>62.5</v>
      </c>
    </row>
    <row r="87" ht="15.75" customHeight="1">
      <c r="B87" s="43">
        <v>23.0</v>
      </c>
      <c r="C87" s="57" t="s">
        <v>223</v>
      </c>
      <c r="D87" s="43">
        <v>21.0</v>
      </c>
      <c r="E87" s="43" t="s">
        <v>200</v>
      </c>
      <c r="F87" s="47">
        <v>5.0</v>
      </c>
      <c r="G87" s="47">
        <v>5.0</v>
      </c>
      <c r="H87" s="47">
        <v>5.0</v>
      </c>
      <c r="I87" s="47">
        <v>5.0</v>
      </c>
      <c r="J87" s="47">
        <v>5.0</v>
      </c>
      <c r="K87" s="47">
        <v>5.0</v>
      </c>
      <c r="L87" s="47">
        <v>5.0</v>
      </c>
      <c r="M87" s="47">
        <v>5.0</v>
      </c>
      <c r="N87" s="47">
        <v>5.0</v>
      </c>
      <c r="O87" s="47">
        <v>5.0</v>
      </c>
      <c r="P87" s="37"/>
      <c r="Q87" s="42">
        <f t="shared" si="25"/>
        <v>4</v>
      </c>
      <c r="R87" s="42">
        <f t="shared" si="26"/>
        <v>0</v>
      </c>
      <c r="S87" s="42">
        <f t="shared" si="27"/>
        <v>4</v>
      </c>
      <c r="T87" s="42">
        <f t="shared" si="28"/>
        <v>0</v>
      </c>
      <c r="U87" s="42">
        <f t="shared" si="29"/>
        <v>4</v>
      </c>
      <c r="V87" s="42">
        <f t="shared" si="30"/>
        <v>0</v>
      </c>
      <c r="W87" s="42">
        <f t="shared" si="31"/>
        <v>4</v>
      </c>
      <c r="X87" s="42">
        <f t="shared" si="32"/>
        <v>0</v>
      </c>
      <c r="Y87" s="42">
        <f t="shared" si="33"/>
        <v>4</v>
      </c>
      <c r="Z87" s="42">
        <f t="shared" si="34"/>
        <v>0</v>
      </c>
      <c r="AA87" s="52">
        <f t="shared" si="35"/>
        <v>20</v>
      </c>
      <c r="AB87" s="53">
        <f t="shared" si="36"/>
        <v>50</v>
      </c>
    </row>
    <row r="88" ht="15.75" customHeight="1">
      <c r="B88" s="43">
        <v>24.0</v>
      </c>
      <c r="C88" s="57" t="s">
        <v>224</v>
      </c>
      <c r="D88" s="43">
        <v>21.0</v>
      </c>
      <c r="E88" s="43" t="s">
        <v>202</v>
      </c>
      <c r="F88" s="47">
        <v>2.0</v>
      </c>
      <c r="G88" s="47">
        <v>3.0</v>
      </c>
      <c r="H88" s="47">
        <v>2.0</v>
      </c>
      <c r="I88" s="47">
        <v>3.0</v>
      </c>
      <c r="J88" s="47">
        <v>2.0</v>
      </c>
      <c r="K88" s="47">
        <v>3.0</v>
      </c>
      <c r="L88" s="47">
        <v>2.0</v>
      </c>
      <c r="M88" s="47">
        <v>3.0</v>
      </c>
      <c r="N88" s="47">
        <v>2.0</v>
      </c>
      <c r="O88" s="47">
        <v>3.0</v>
      </c>
      <c r="P88" s="37"/>
      <c r="Q88" s="42">
        <f t="shared" si="25"/>
        <v>1</v>
      </c>
      <c r="R88" s="42">
        <f t="shared" si="26"/>
        <v>2</v>
      </c>
      <c r="S88" s="42">
        <f t="shared" si="27"/>
        <v>1</v>
      </c>
      <c r="T88" s="42">
        <f t="shared" si="28"/>
        <v>2</v>
      </c>
      <c r="U88" s="42">
        <f t="shared" si="29"/>
        <v>1</v>
      </c>
      <c r="V88" s="42">
        <f t="shared" si="30"/>
        <v>2</v>
      </c>
      <c r="W88" s="42">
        <f t="shared" si="31"/>
        <v>1</v>
      </c>
      <c r="X88" s="42">
        <f t="shared" si="32"/>
        <v>2</v>
      </c>
      <c r="Y88" s="42">
        <f t="shared" si="33"/>
        <v>1</v>
      </c>
      <c r="Z88" s="42">
        <f t="shared" si="34"/>
        <v>2</v>
      </c>
      <c r="AA88" s="52">
        <f t="shared" si="35"/>
        <v>15</v>
      </c>
      <c r="AB88" s="53">
        <f t="shared" si="36"/>
        <v>37.5</v>
      </c>
    </row>
    <row r="89" ht="15.75" customHeight="1">
      <c r="B89" s="43">
        <v>25.0</v>
      </c>
      <c r="C89" s="57" t="s">
        <v>225</v>
      </c>
      <c r="D89" s="43">
        <v>22.0</v>
      </c>
      <c r="E89" s="43" t="s">
        <v>200</v>
      </c>
      <c r="F89" s="47">
        <v>4.0</v>
      </c>
      <c r="G89" s="47">
        <v>3.0</v>
      </c>
      <c r="H89" s="47">
        <v>4.0</v>
      </c>
      <c r="I89" s="47">
        <v>3.0</v>
      </c>
      <c r="J89" s="47">
        <v>3.0</v>
      </c>
      <c r="K89" s="47">
        <v>3.0</v>
      </c>
      <c r="L89" s="47">
        <v>5.0</v>
      </c>
      <c r="M89" s="47">
        <v>5.0</v>
      </c>
      <c r="N89" s="47">
        <v>4.0</v>
      </c>
      <c r="O89" s="47">
        <v>4.0</v>
      </c>
      <c r="P89" s="37"/>
      <c r="Q89" s="42">
        <f t="shared" si="25"/>
        <v>3</v>
      </c>
      <c r="R89" s="42">
        <f t="shared" si="26"/>
        <v>2</v>
      </c>
      <c r="S89" s="42">
        <f t="shared" si="27"/>
        <v>3</v>
      </c>
      <c r="T89" s="42">
        <f t="shared" si="28"/>
        <v>2</v>
      </c>
      <c r="U89" s="42">
        <f t="shared" si="29"/>
        <v>2</v>
      </c>
      <c r="V89" s="42">
        <f t="shared" si="30"/>
        <v>2</v>
      </c>
      <c r="W89" s="42">
        <f t="shared" si="31"/>
        <v>4</v>
      </c>
      <c r="X89" s="42">
        <f t="shared" si="32"/>
        <v>0</v>
      </c>
      <c r="Y89" s="42">
        <f t="shared" si="33"/>
        <v>3</v>
      </c>
      <c r="Z89" s="42">
        <f t="shared" si="34"/>
        <v>1</v>
      </c>
      <c r="AA89" s="52">
        <f t="shared" si="35"/>
        <v>22</v>
      </c>
      <c r="AB89" s="53">
        <f t="shared" si="36"/>
        <v>55</v>
      </c>
    </row>
    <row r="90" ht="15.75" customHeight="1">
      <c r="B90" s="54"/>
      <c r="C90" s="41" t="s">
        <v>226</v>
      </c>
      <c r="D90" s="55">
        <f>AVERAGE(D65:D89)</f>
        <v>20.88</v>
      </c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37"/>
      <c r="Q90" s="38" t="s">
        <v>227</v>
      </c>
      <c r="R90" s="35"/>
      <c r="S90" s="35"/>
      <c r="T90" s="35"/>
      <c r="U90" s="35"/>
      <c r="V90" s="35"/>
      <c r="W90" s="35"/>
      <c r="X90" s="35"/>
      <c r="Y90" s="35"/>
      <c r="Z90" s="35"/>
      <c r="AA90" s="36"/>
      <c r="AB90" s="56">
        <f>AVERAGE(AB65:AB89)</f>
        <v>54.3</v>
      </c>
    </row>
    <row r="91" ht="15.75" customHeight="1"/>
    <row r="92" ht="30.75" customHeight="1">
      <c r="A92" s="32" t="s">
        <v>230</v>
      </c>
    </row>
    <row r="93" ht="15.75" customHeight="1">
      <c r="B93" s="33" t="s">
        <v>181</v>
      </c>
      <c r="C93" s="33" t="s">
        <v>182</v>
      </c>
      <c r="D93" s="33" t="s">
        <v>183</v>
      </c>
      <c r="E93" s="33" t="s">
        <v>184</v>
      </c>
      <c r="F93" s="34" t="s">
        <v>185</v>
      </c>
      <c r="G93" s="35"/>
      <c r="H93" s="35"/>
      <c r="I93" s="35"/>
      <c r="J93" s="35"/>
      <c r="K93" s="35"/>
      <c r="L93" s="35"/>
      <c r="M93" s="35"/>
      <c r="N93" s="35"/>
      <c r="O93" s="36"/>
      <c r="P93" s="37"/>
      <c r="Q93" s="38" t="s">
        <v>186</v>
      </c>
      <c r="R93" s="35"/>
      <c r="S93" s="35"/>
      <c r="T93" s="35"/>
      <c r="U93" s="35"/>
      <c r="V93" s="35"/>
      <c r="W93" s="35"/>
      <c r="X93" s="35"/>
      <c r="Y93" s="35"/>
      <c r="Z93" s="36"/>
      <c r="AA93" s="33" t="s">
        <v>187</v>
      </c>
      <c r="AB93" s="39" t="s">
        <v>188</v>
      </c>
    </row>
    <row r="94" ht="15.75" customHeight="1">
      <c r="B94" s="40"/>
      <c r="C94" s="40"/>
      <c r="D94" s="40"/>
      <c r="E94" s="40"/>
      <c r="F94" s="41" t="s">
        <v>189</v>
      </c>
      <c r="G94" s="41" t="s">
        <v>190</v>
      </c>
      <c r="H94" s="41" t="s">
        <v>191</v>
      </c>
      <c r="I94" s="41" t="s">
        <v>192</v>
      </c>
      <c r="J94" s="41" t="s">
        <v>193</v>
      </c>
      <c r="K94" s="41" t="s">
        <v>194</v>
      </c>
      <c r="L94" s="41" t="s">
        <v>195</v>
      </c>
      <c r="M94" s="41" t="s">
        <v>196</v>
      </c>
      <c r="N94" s="41" t="s">
        <v>197</v>
      </c>
      <c r="O94" s="41" t="s">
        <v>198</v>
      </c>
      <c r="P94" s="37"/>
      <c r="Q94" s="42" t="s">
        <v>189</v>
      </c>
      <c r="R94" s="42" t="s">
        <v>190</v>
      </c>
      <c r="S94" s="42" t="s">
        <v>191</v>
      </c>
      <c r="T94" s="42" t="s">
        <v>192</v>
      </c>
      <c r="U94" s="42" t="s">
        <v>193</v>
      </c>
      <c r="V94" s="42" t="s">
        <v>194</v>
      </c>
      <c r="W94" s="42" t="s">
        <v>195</v>
      </c>
      <c r="X94" s="42" t="s">
        <v>196</v>
      </c>
      <c r="Y94" s="42" t="s">
        <v>197</v>
      </c>
      <c r="Z94" s="42" t="s">
        <v>198</v>
      </c>
      <c r="AA94" s="40"/>
      <c r="AB94" s="40"/>
    </row>
    <row r="95" ht="15.75" customHeight="1">
      <c r="B95" s="43">
        <v>1.0</v>
      </c>
      <c r="C95" s="57" t="s">
        <v>199</v>
      </c>
      <c r="D95" s="43">
        <v>19.0</v>
      </c>
      <c r="E95" s="43" t="s">
        <v>202</v>
      </c>
      <c r="F95" s="47">
        <v>4.0</v>
      </c>
      <c r="G95" s="47">
        <v>5.0</v>
      </c>
      <c r="H95" s="47">
        <v>4.0</v>
      </c>
      <c r="I95" s="47">
        <v>5.0</v>
      </c>
      <c r="J95" s="47">
        <v>4.0</v>
      </c>
      <c r="K95" s="47">
        <v>5.0</v>
      </c>
      <c r="L95" s="47">
        <v>4.0</v>
      </c>
      <c r="M95" s="47">
        <v>5.0</v>
      </c>
      <c r="N95" s="47">
        <v>5.0</v>
      </c>
      <c r="O95" s="47">
        <v>4.0</v>
      </c>
      <c r="P95" s="37"/>
      <c r="Q95" s="51">
        <f t="shared" ref="Q95:Q119" si="37">F95-1</f>
        <v>3</v>
      </c>
      <c r="R95" s="51">
        <f t="shared" ref="R95:R119" si="38">5-G95</f>
        <v>0</v>
      </c>
      <c r="S95" s="51">
        <f t="shared" ref="S95:S119" si="39">H95-1</f>
        <v>3</v>
      </c>
      <c r="T95" s="51">
        <f t="shared" ref="T95:T119" si="40">5-I95</f>
        <v>0</v>
      </c>
      <c r="U95" s="51">
        <f t="shared" ref="U95:U119" si="41">J95-1</f>
        <v>3</v>
      </c>
      <c r="V95" s="51">
        <f t="shared" ref="V95:V119" si="42">5-K95</f>
        <v>0</v>
      </c>
      <c r="W95" s="51">
        <f t="shared" ref="W95:W119" si="43">L95-1</f>
        <v>3</v>
      </c>
      <c r="X95" s="51">
        <f t="shared" ref="X95:X119" si="44">5-M95</f>
        <v>0</v>
      </c>
      <c r="Y95" s="51">
        <f t="shared" ref="Y95:Y119" si="45">N95-1</f>
        <v>4</v>
      </c>
      <c r="Z95" s="51">
        <f t="shared" ref="Z95:Z119" si="46">5-O95</f>
        <v>1</v>
      </c>
      <c r="AA95" s="52">
        <f t="shared" ref="AA95:AA119" si="47">SUM(Q95:Z95)</f>
        <v>17</v>
      </c>
      <c r="AB95" s="53">
        <f t="shared" ref="AB95:AB119" si="48">AA95*2.5</f>
        <v>42.5</v>
      </c>
    </row>
    <row r="96" ht="15.75" customHeight="1">
      <c r="B96" s="43">
        <v>2.0</v>
      </c>
      <c r="C96" s="57" t="s">
        <v>201</v>
      </c>
      <c r="D96" s="43">
        <v>19.0</v>
      </c>
      <c r="E96" s="43" t="s">
        <v>200</v>
      </c>
      <c r="F96" s="47">
        <v>2.0</v>
      </c>
      <c r="G96" s="47">
        <v>5.0</v>
      </c>
      <c r="H96" s="47">
        <v>1.0</v>
      </c>
      <c r="I96" s="47">
        <v>5.0</v>
      </c>
      <c r="J96" s="47">
        <v>4.0</v>
      </c>
      <c r="K96" s="47">
        <v>5.0</v>
      </c>
      <c r="L96" s="47">
        <v>3.0</v>
      </c>
      <c r="M96" s="47">
        <v>4.0</v>
      </c>
      <c r="N96" s="47">
        <v>1.0</v>
      </c>
      <c r="O96" s="47">
        <v>3.0</v>
      </c>
      <c r="P96" s="37"/>
      <c r="Q96" s="42">
        <f t="shared" si="37"/>
        <v>1</v>
      </c>
      <c r="R96" s="42">
        <f t="shared" si="38"/>
        <v>0</v>
      </c>
      <c r="S96" s="42">
        <f t="shared" si="39"/>
        <v>0</v>
      </c>
      <c r="T96" s="42">
        <f t="shared" si="40"/>
        <v>0</v>
      </c>
      <c r="U96" s="42">
        <f t="shared" si="41"/>
        <v>3</v>
      </c>
      <c r="V96" s="42">
        <f t="shared" si="42"/>
        <v>0</v>
      </c>
      <c r="W96" s="42">
        <f t="shared" si="43"/>
        <v>2</v>
      </c>
      <c r="X96" s="42">
        <f t="shared" si="44"/>
        <v>1</v>
      </c>
      <c r="Y96" s="42">
        <f t="shared" si="45"/>
        <v>0</v>
      </c>
      <c r="Z96" s="42">
        <f t="shared" si="46"/>
        <v>2</v>
      </c>
      <c r="AA96" s="52">
        <f t="shared" si="47"/>
        <v>9</v>
      </c>
      <c r="AB96" s="53">
        <f t="shared" si="48"/>
        <v>22.5</v>
      </c>
    </row>
    <row r="97" ht="15.75" customHeight="1">
      <c r="B97" s="43">
        <v>3.0</v>
      </c>
      <c r="C97" s="57" t="s">
        <v>203</v>
      </c>
      <c r="D97" s="43">
        <v>19.0</v>
      </c>
      <c r="E97" s="43" t="s">
        <v>202</v>
      </c>
      <c r="F97" s="47">
        <v>1.0</v>
      </c>
      <c r="G97" s="47">
        <v>3.0</v>
      </c>
      <c r="H97" s="47">
        <v>2.0</v>
      </c>
      <c r="I97" s="47">
        <v>4.0</v>
      </c>
      <c r="J97" s="47">
        <v>3.0</v>
      </c>
      <c r="K97" s="47">
        <v>2.0</v>
      </c>
      <c r="L97" s="47">
        <v>5.0</v>
      </c>
      <c r="M97" s="47">
        <v>4.0</v>
      </c>
      <c r="N97" s="47">
        <v>4.0</v>
      </c>
      <c r="O97" s="47">
        <v>4.0</v>
      </c>
      <c r="P97" s="37"/>
      <c r="Q97" s="42">
        <f t="shared" si="37"/>
        <v>0</v>
      </c>
      <c r="R97" s="42">
        <f t="shared" si="38"/>
        <v>2</v>
      </c>
      <c r="S97" s="42">
        <f t="shared" si="39"/>
        <v>1</v>
      </c>
      <c r="T97" s="42">
        <f t="shared" si="40"/>
        <v>1</v>
      </c>
      <c r="U97" s="42">
        <f t="shared" si="41"/>
        <v>2</v>
      </c>
      <c r="V97" s="42">
        <f t="shared" si="42"/>
        <v>3</v>
      </c>
      <c r="W97" s="42">
        <f t="shared" si="43"/>
        <v>4</v>
      </c>
      <c r="X97" s="42">
        <f t="shared" si="44"/>
        <v>1</v>
      </c>
      <c r="Y97" s="42">
        <f t="shared" si="45"/>
        <v>3</v>
      </c>
      <c r="Z97" s="42">
        <f t="shared" si="46"/>
        <v>1</v>
      </c>
      <c r="AA97" s="52">
        <f t="shared" si="47"/>
        <v>18</v>
      </c>
      <c r="AB97" s="53">
        <f t="shared" si="48"/>
        <v>45</v>
      </c>
    </row>
    <row r="98" ht="15.75" customHeight="1">
      <c r="B98" s="43">
        <v>4.0</v>
      </c>
      <c r="C98" s="57" t="s">
        <v>204</v>
      </c>
      <c r="D98" s="43">
        <v>18.0</v>
      </c>
      <c r="E98" s="43" t="s">
        <v>202</v>
      </c>
      <c r="F98" s="47">
        <v>4.0</v>
      </c>
      <c r="G98" s="47">
        <v>4.0</v>
      </c>
      <c r="H98" s="47">
        <v>3.0</v>
      </c>
      <c r="I98" s="47">
        <v>5.0</v>
      </c>
      <c r="J98" s="47">
        <v>4.0</v>
      </c>
      <c r="K98" s="47">
        <v>3.0</v>
      </c>
      <c r="L98" s="47">
        <v>3.0</v>
      </c>
      <c r="M98" s="47">
        <v>3.0</v>
      </c>
      <c r="N98" s="47">
        <v>3.0</v>
      </c>
      <c r="O98" s="47">
        <v>3.0</v>
      </c>
      <c r="P98" s="37"/>
      <c r="Q98" s="42">
        <f t="shared" si="37"/>
        <v>3</v>
      </c>
      <c r="R98" s="42">
        <f t="shared" si="38"/>
        <v>1</v>
      </c>
      <c r="S98" s="42">
        <f t="shared" si="39"/>
        <v>2</v>
      </c>
      <c r="T98" s="42">
        <f t="shared" si="40"/>
        <v>0</v>
      </c>
      <c r="U98" s="42">
        <f t="shared" si="41"/>
        <v>3</v>
      </c>
      <c r="V98" s="42">
        <f t="shared" si="42"/>
        <v>2</v>
      </c>
      <c r="W98" s="42">
        <f t="shared" si="43"/>
        <v>2</v>
      </c>
      <c r="X98" s="42">
        <f t="shared" si="44"/>
        <v>2</v>
      </c>
      <c r="Y98" s="42">
        <f t="shared" si="45"/>
        <v>2</v>
      </c>
      <c r="Z98" s="42">
        <f t="shared" si="46"/>
        <v>2</v>
      </c>
      <c r="AA98" s="52">
        <f t="shared" si="47"/>
        <v>19</v>
      </c>
      <c r="AB98" s="53">
        <f t="shared" si="48"/>
        <v>47.5</v>
      </c>
    </row>
    <row r="99" ht="15.75" customHeight="1">
      <c r="B99" s="43">
        <v>5.0</v>
      </c>
      <c r="C99" s="57" t="s">
        <v>205</v>
      </c>
      <c r="D99" s="43">
        <v>19.0</v>
      </c>
      <c r="E99" s="43" t="s">
        <v>202</v>
      </c>
      <c r="F99" s="47">
        <v>3.0</v>
      </c>
      <c r="G99" s="47">
        <v>4.0</v>
      </c>
      <c r="H99" s="47">
        <v>4.0</v>
      </c>
      <c r="I99" s="47">
        <v>4.0</v>
      </c>
      <c r="J99" s="47">
        <v>4.0</v>
      </c>
      <c r="K99" s="47">
        <v>4.0</v>
      </c>
      <c r="L99" s="47">
        <v>4.0</v>
      </c>
      <c r="M99" s="47">
        <v>3.0</v>
      </c>
      <c r="N99" s="47">
        <v>5.0</v>
      </c>
      <c r="O99" s="47">
        <v>3.0</v>
      </c>
      <c r="P99" s="37"/>
      <c r="Q99" s="42">
        <f t="shared" si="37"/>
        <v>2</v>
      </c>
      <c r="R99" s="42">
        <f t="shared" si="38"/>
        <v>1</v>
      </c>
      <c r="S99" s="42">
        <f t="shared" si="39"/>
        <v>3</v>
      </c>
      <c r="T99" s="42">
        <f t="shared" si="40"/>
        <v>1</v>
      </c>
      <c r="U99" s="42">
        <f t="shared" si="41"/>
        <v>3</v>
      </c>
      <c r="V99" s="42">
        <f t="shared" si="42"/>
        <v>1</v>
      </c>
      <c r="W99" s="42">
        <f t="shared" si="43"/>
        <v>3</v>
      </c>
      <c r="X99" s="42">
        <f t="shared" si="44"/>
        <v>2</v>
      </c>
      <c r="Y99" s="42">
        <f t="shared" si="45"/>
        <v>4</v>
      </c>
      <c r="Z99" s="42">
        <f t="shared" si="46"/>
        <v>2</v>
      </c>
      <c r="AA99" s="52">
        <f t="shared" si="47"/>
        <v>22</v>
      </c>
      <c r="AB99" s="53">
        <f t="shared" si="48"/>
        <v>55</v>
      </c>
    </row>
    <row r="100" ht="15.75" customHeight="1">
      <c r="B100" s="43">
        <v>6.0</v>
      </c>
      <c r="C100" s="57" t="s">
        <v>206</v>
      </c>
      <c r="D100" s="43">
        <v>20.0</v>
      </c>
      <c r="E100" s="43" t="s">
        <v>202</v>
      </c>
      <c r="F100" s="47">
        <v>3.0</v>
      </c>
      <c r="G100" s="47">
        <v>2.0</v>
      </c>
      <c r="H100" s="47">
        <v>5.0</v>
      </c>
      <c r="I100" s="47">
        <v>2.0</v>
      </c>
      <c r="J100" s="47">
        <v>4.0</v>
      </c>
      <c r="K100" s="47">
        <v>2.0</v>
      </c>
      <c r="L100" s="47">
        <v>4.0</v>
      </c>
      <c r="M100" s="47">
        <v>5.0</v>
      </c>
      <c r="N100" s="47">
        <v>5.0</v>
      </c>
      <c r="O100" s="47">
        <v>5.0</v>
      </c>
      <c r="P100" s="37"/>
      <c r="Q100" s="42">
        <f t="shared" si="37"/>
        <v>2</v>
      </c>
      <c r="R100" s="42">
        <f t="shared" si="38"/>
        <v>3</v>
      </c>
      <c r="S100" s="42">
        <f t="shared" si="39"/>
        <v>4</v>
      </c>
      <c r="T100" s="42">
        <f t="shared" si="40"/>
        <v>3</v>
      </c>
      <c r="U100" s="42">
        <f t="shared" si="41"/>
        <v>3</v>
      </c>
      <c r="V100" s="42">
        <f t="shared" si="42"/>
        <v>3</v>
      </c>
      <c r="W100" s="42">
        <f t="shared" si="43"/>
        <v>3</v>
      </c>
      <c r="X100" s="42">
        <f t="shared" si="44"/>
        <v>0</v>
      </c>
      <c r="Y100" s="42">
        <f t="shared" si="45"/>
        <v>4</v>
      </c>
      <c r="Z100" s="42">
        <f t="shared" si="46"/>
        <v>0</v>
      </c>
      <c r="AA100" s="52">
        <f t="shared" si="47"/>
        <v>25</v>
      </c>
      <c r="AB100" s="53">
        <f t="shared" si="48"/>
        <v>62.5</v>
      </c>
    </row>
    <row r="101" ht="15.75" customHeight="1">
      <c r="B101" s="43">
        <v>7.0</v>
      </c>
      <c r="C101" s="57" t="s">
        <v>207</v>
      </c>
      <c r="D101" s="43">
        <v>20.0</v>
      </c>
      <c r="E101" s="43" t="s">
        <v>200</v>
      </c>
      <c r="F101" s="47">
        <v>4.0</v>
      </c>
      <c r="G101" s="47">
        <v>4.0</v>
      </c>
      <c r="H101" s="47">
        <v>3.0</v>
      </c>
      <c r="I101" s="47">
        <v>4.0</v>
      </c>
      <c r="J101" s="47">
        <v>3.0</v>
      </c>
      <c r="K101" s="47">
        <v>5.0</v>
      </c>
      <c r="L101" s="47">
        <v>5.0</v>
      </c>
      <c r="M101" s="47">
        <v>4.0</v>
      </c>
      <c r="N101" s="47">
        <v>3.0</v>
      </c>
      <c r="O101" s="47">
        <v>4.0</v>
      </c>
      <c r="P101" s="37"/>
      <c r="Q101" s="42">
        <f t="shared" si="37"/>
        <v>3</v>
      </c>
      <c r="R101" s="42">
        <f t="shared" si="38"/>
        <v>1</v>
      </c>
      <c r="S101" s="42">
        <f t="shared" si="39"/>
        <v>2</v>
      </c>
      <c r="T101" s="42">
        <f t="shared" si="40"/>
        <v>1</v>
      </c>
      <c r="U101" s="42">
        <f t="shared" si="41"/>
        <v>2</v>
      </c>
      <c r="V101" s="42">
        <f t="shared" si="42"/>
        <v>0</v>
      </c>
      <c r="W101" s="42">
        <f t="shared" si="43"/>
        <v>4</v>
      </c>
      <c r="X101" s="42">
        <f t="shared" si="44"/>
        <v>1</v>
      </c>
      <c r="Y101" s="42">
        <f t="shared" si="45"/>
        <v>2</v>
      </c>
      <c r="Z101" s="42">
        <f t="shared" si="46"/>
        <v>1</v>
      </c>
      <c r="AA101" s="52">
        <f t="shared" si="47"/>
        <v>17</v>
      </c>
      <c r="AB101" s="53">
        <f t="shared" si="48"/>
        <v>42.5</v>
      </c>
    </row>
    <row r="102" ht="15.75" customHeight="1">
      <c r="B102" s="43">
        <v>8.0</v>
      </c>
      <c r="C102" s="57" t="s">
        <v>208</v>
      </c>
      <c r="D102" s="43">
        <v>33.0</v>
      </c>
      <c r="E102" s="43" t="s">
        <v>202</v>
      </c>
      <c r="F102" s="47">
        <v>4.0</v>
      </c>
      <c r="G102" s="47">
        <v>2.0</v>
      </c>
      <c r="H102" s="47">
        <v>4.0</v>
      </c>
      <c r="I102" s="47">
        <v>2.0</v>
      </c>
      <c r="J102" s="47">
        <v>4.0</v>
      </c>
      <c r="K102" s="47">
        <v>2.0</v>
      </c>
      <c r="L102" s="47">
        <v>4.0</v>
      </c>
      <c r="M102" s="47">
        <v>2.0</v>
      </c>
      <c r="N102" s="47">
        <v>4.0</v>
      </c>
      <c r="O102" s="47">
        <v>2.0</v>
      </c>
      <c r="P102" s="37"/>
      <c r="Q102" s="42">
        <f t="shared" si="37"/>
        <v>3</v>
      </c>
      <c r="R102" s="42">
        <f t="shared" si="38"/>
        <v>3</v>
      </c>
      <c r="S102" s="42">
        <f t="shared" si="39"/>
        <v>3</v>
      </c>
      <c r="T102" s="42">
        <f t="shared" si="40"/>
        <v>3</v>
      </c>
      <c r="U102" s="42">
        <f t="shared" si="41"/>
        <v>3</v>
      </c>
      <c r="V102" s="42">
        <f t="shared" si="42"/>
        <v>3</v>
      </c>
      <c r="W102" s="42">
        <f t="shared" si="43"/>
        <v>3</v>
      </c>
      <c r="X102" s="42">
        <f t="shared" si="44"/>
        <v>3</v>
      </c>
      <c r="Y102" s="42">
        <f t="shared" si="45"/>
        <v>3</v>
      </c>
      <c r="Z102" s="42">
        <f t="shared" si="46"/>
        <v>3</v>
      </c>
      <c r="AA102" s="52">
        <f t="shared" si="47"/>
        <v>30</v>
      </c>
      <c r="AB102" s="53">
        <f t="shared" si="48"/>
        <v>75</v>
      </c>
    </row>
    <row r="103" ht="15.75" customHeight="1">
      <c r="B103" s="43">
        <v>9.0</v>
      </c>
      <c r="C103" s="57" t="s">
        <v>209</v>
      </c>
      <c r="D103" s="43">
        <v>26.0</v>
      </c>
      <c r="E103" s="43" t="s">
        <v>200</v>
      </c>
      <c r="F103" s="47">
        <v>1.0</v>
      </c>
      <c r="G103" s="47">
        <v>1.0</v>
      </c>
      <c r="H103" s="47">
        <v>2.0</v>
      </c>
      <c r="I103" s="47">
        <v>2.0</v>
      </c>
      <c r="J103" s="47">
        <v>3.0</v>
      </c>
      <c r="K103" s="47">
        <v>3.0</v>
      </c>
      <c r="L103" s="47">
        <v>4.0</v>
      </c>
      <c r="M103" s="47">
        <v>4.0</v>
      </c>
      <c r="N103" s="47">
        <v>5.0</v>
      </c>
      <c r="O103" s="47">
        <v>5.0</v>
      </c>
      <c r="P103" s="37"/>
      <c r="Q103" s="42">
        <f t="shared" si="37"/>
        <v>0</v>
      </c>
      <c r="R103" s="42">
        <f t="shared" si="38"/>
        <v>4</v>
      </c>
      <c r="S103" s="42">
        <f t="shared" si="39"/>
        <v>1</v>
      </c>
      <c r="T103" s="42">
        <f t="shared" si="40"/>
        <v>3</v>
      </c>
      <c r="U103" s="42">
        <f t="shared" si="41"/>
        <v>2</v>
      </c>
      <c r="V103" s="42">
        <f t="shared" si="42"/>
        <v>2</v>
      </c>
      <c r="W103" s="42">
        <f t="shared" si="43"/>
        <v>3</v>
      </c>
      <c r="X103" s="42">
        <f t="shared" si="44"/>
        <v>1</v>
      </c>
      <c r="Y103" s="42">
        <f t="shared" si="45"/>
        <v>4</v>
      </c>
      <c r="Z103" s="42">
        <f t="shared" si="46"/>
        <v>0</v>
      </c>
      <c r="AA103" s="52">
        <f t="shared" si="47"/>
        <v>20</v>
      </c>
      <c r="AB103" s="53">
        <f t="shared" si="48"/>
        <v>50</v>
      </c>
    </row>
    <row r="104" ht="15.75" customHeight="1">
      <c r="B104" s="43">
        <v>10.0</v>
      </c>
      <c r="C104" s="57" t="s">
        <v>210</v>
      </c>
      <c r="D104" s="43">
        <v>21.0</v>
      </c>
      <c r="E104" s="43" t="s">
        <v>202</v>
      </c>
      <c r="F104" s="47">
        <v>5.0</v>
      </c>
      <c r="G104" s="47">
        <v>3.0</v>
      </c>
      <c r="H104" s="47">
        <v>4.0</v>
      </c>
      <c r="I104" s="47">
        <v>3.0</v>
      </c>
      <c r="J104" s="47">
        <v>4.0</v>
      </c>
      <c r="K104" s="47">
        <v>2.0</v>
      </c>
      <c r="L104" s="47">
        <v>3.0</v>
      </c>
      <c r="M104" s="47">
        <v>1.0</v>
      </c>
      <c r="N104" s="47">
        <v>2.0</v>
      </c>
      <c r="O104" s="47">
        <v>1.0</v>
      </c>
      <c r="P104" s="37"/>
      <c r="Q104" s="42">
        <f t="shared" si="37"/>
        <v>4</v>
      </c>
      <c r="R104" s="42">
        <f t="shared" si="38"/>
        <v>2</v>
      </c>
      <c r="S104" s="42">
        <f t="shared" si="39"/>
        <v>3</v>
      </c>
      <c r="T104" s="42">
        <f t="shared" si="40"/>
        <v>2</v>
      </c>
      <c r="U104" s="42">
        <f t="shared" si="41"/>
        <v>3</v>
      </c>
      <c r="V104" s="42">
        <f t="shared" si="42"/>
        <v>3</v>
      </c>
      <c r="W104" s="42">
        <f t="shared" si="43"/>
        <v>2</v>
      </c>
      <c r="X104" s="42">
        <f t="shared" si="44"/>
        <v>4</v>
      </c>
      <c r="Y104" s="42">
        <f t="shared" si="45"/>
        <v>1</v>
      </c>
      <c r="Z104" s="42">
        <f t="shared" si="46"/>
        <v>4</v>
      </c>
      <c r="AA104" s="52">
        <f t="shared" si="47"/>
        <v>28</v>
      </c>
      <c r="AB104" s="53">
        <f t="shared" si="48"/>
        <v>70</v>
      </c>
    </row>
    <row r="105" ht="15.75" customHeight="1">
      <c r="B105" s="43">
        <v>11.0</v>
      </c>
      <c r="C105" s="57" t="s">
        <v>211</v>
      </c>
      <c r="D105" s="43">
        <v>28.0</v>
      </c>
      <c r="E105" s="43" t="s">
        <v>200</v>
      </c>
      <c r="F105" s="47">
        <v>2.0</v>
      </c>
      <c r="G105" s="47">
        <v>5.0</v>
      </c>
      <c r="H105" s="47">
        <v>1.0</v>
      </c>
      <c r="I105" s="47">
        <v>4.0</v>
      </c>
      <c r="J105" s="47">
        <v>2.0</v>
      </c>
      <c r="K105" s="47">
        <v>3.0</v>
      </c>
      <c r="L105" s="47">
        <v>5.0</v>
      </c>
      <c r="M105" s="47">
        <v>1.0</v>
      </c>
      <c r="N105" s="47">
        <v>4.0</v>
      </c>
      <c r="O105" s="47">
        <v>2.0</v>
      </c>
      <c r="P105" s="37"/>
      <c r="Q105" s="42">
        <f t="shared" si="37"/>
        <v>1</v>
      </c>
      <c r="R105" s="42">
        <f t="shared" si="38"/>
        <v>0</v>
      </c>
      <c r="S105" s="42">
        <f t="shared" si="39"/>
        <v>0</v>
      </c>
      <c r="T105" s="42">
        <f t="shared" si="40"/>
        <v>1</v>
      </c>
      <c r="U105" s="42">
        <f t="shared" si="41"/>
        <v>1</v>
      </c>
      <c r="V105" s="42">
        <f t="shared" si="42"/>
        <v>2</v>
      </c>
      <c r="W105" s="42">
        <f t="shared" si="43"/>
        <v>4</v>
      </c>
      <c r="X105" s="42">
        <f t="shared" si="44"/>
        <v>4</v>
      </c>
      <c r="Y105" s="42">
        <f t="shared" si="45"/>
        <v>3</v>
      </c>
      <c r="Z105" s="42">
        <f t="shared" si="46"/>
        <v>3</v>
      </c>
      <c r="AA105" s="52">
        <f t="shared" si="47"/>
        <v>19</v>
      </c>
      <c r="AB105" s="53">
        <f t="shared" si="48"/>
        <v>47.5</v>
      </c>
    </row>
    <row r="106" ht="15.75" customHeight="1">
      <c r="B106" s="43">
        <v>12.0</v>
      </c>
      <c r="C106" s="57" t="s">
        <v>212</v>
      </c>
      <c r="D106" s="43">
        <v>17.0</v>
      </c>
      <c r="E106" s="43" t="s">
        <v>202</v>
      </c>
      <c r="F106" s="47">
        <v>3.0</v>
      </c>
      <c r="G106" s="47">
        <v>4.0</v>
      </c>
      <c r="H106" s="47">
        <v>2.0</v>
      </c>
      <c r="I106" s="47">
        <v>1.0</v>
      </c>
      <c r="J106" s="47">
        <v>3.0</v>
      </c>
      <c r="K106" s="47">
        <v>5.0</v>
      </c>
      <c r="L106" s="47">
        <v>4.0</v>
      </c>
      <c r="M106" s="47">
        <v>2.0</v>
      </c>
      <c r="N106" s="47">
        <v>1.0</v>
      </c>
      <c r="O106" s="47">
        <v>3.0</v>
      </c>
      <c r="P106" s="37"/>
      <c r="Q106" s="42">
        <f t="shared" si="37"/>
        <v>2</v>
      </c>
      <c r="R106" s="42">
        <f t="shared" si="38"/>
        <v>1</v>
      </c>
      <c r="S106" s="42">
        <f t="shared" si="39"/>
        <v>1</v>
      </c>
      <c r="T106" s="42">
        <f t="shared" si="40"/>
        <v>4</v>
      </c>
      <c r="U106" s="42">
        <f t="shared" si="41"/>
        <v>2</v>
      </c>
      <c r="V106" s="42">
        <f t="shared" si="42"/>
        <v>0</v>
      </c>
      <c r="W106" s="42">
        <f t="shared" si="43"/>
        <v>3</v>
      </c>
      <c r="X106" s="42">
        <f t="shared" si="44"/>
        <v>3</v>
      </c>
      <c r="Y106" s="42">
        <f t="shared" si="45"/>
        <v>0</v>
      </c>
      <c r="Z106" s="42">
        <f t="shared" si="46"/>
        <v>2</v>
      </c>
      <c r="AA106" s="52">
        <f t="shared" si="47"/>
        <v>18</v>
      </c>
      <c r="AB106" s="53">
        <f t="shared" si="48"/>
        <v>45</v>
      </c>
    </row>
    <row r="107" ht="15.75" customHeight="1">
      <c r="B107" s="43">
        <v>13.0</v>
      </c>
      <c r="C107" s="57" t="s">
        <v>213</v>
      </c>
      <c r="D107" s="43">
        <v>32.0</v>
      </c>
      <c r="E107" s="43" t="s">
        <v>200</v>
      </c>
      <c r="F107" s="47">
        <v>4.0</v>
      </c>
      <c r="G107" s="47">
        <v>1.0</v>
      </c>
      <c r="H107" s="47">
        <v>3.0</v>
      </c>
      <c r="I107" s="47">
        <v>2.0</v>
      </c>
      <c r="J107" s="47">
        <v>5.0</v>
      </c>
      <c r="K107" s="47">
        <v>4.0</v>
      </c>
      <c r="L107" s="47">
        <v>2.0</v>
      </c>
      <c r="M107" s="47">
        <v>1.0</v>
      </c>
      <c r="N107" s="47">
        <v>3.0</v>
      </c>
      <c r="O107" s="47">
        <v>2.0</v>
      </c>
      <c r="P107" s="37"/>
      <c r="Q107" s="42">
        <f t="shared" si="37"/>
        <v>3</v>
      </c>
      <c r="R107" s="42">
        <f t="shared" si="38"/>
        <v>4</v>
      </c>
      <c r="S107" s="42">
        <f t="shared" si="39"/>
        <v>2</v>
      </c>
      <c r="T107" s="42">
        <f t="shared" si="40"/>
        <v>3</v>
      </c>
      <c r="U107" s="42">
        <f t="shared" si="41"/>
        <v>4</v>
      </c>
      <c r="V107" s="42">
        <f t="shared" si="42"/>
        <v>1</v>
      </c>
      <c r="W107" s="42">
        <f t="shared" si="43"/>
        <v>1</v>
      </c>
      <c r="X107" s="42">
        <f t="shared" si="44"/>
        <v>4</v>
      </c>
      <c r="Y107" s="42">
        <f t="shared" si="45"/>
        <v>2</v>
      </c>
      <c r="Z107" s="42">
        <f t="shared" si="46"/>
        <v>3</v>
      </c>
      <c r="AA107" s="52">
        <f t="shared" si="47"/>
        <v>27</v>
      </c>
      <c r="AB107" s="53">
        <f t="shared" si="48"/>
        <v>67.5</v>
      </c>
    </row>
    <row r="108" ht="15.75" customHeight="1">
      <c r="B108" s="43">
        <v>14.0</v>
      </c>
      <c r="C108" s="57" t="s">
        <v>214</v>
      </c>
      <c r="D108" s="43">
        <v>20.0</v>
      </c>
      <c r="E108" s="43" t="s">
        <v>202</v>
      </c>
      <c r="F108" s="47">
        <v>5.0</v>
      </c>
      <c r="G108" s="47">
        <v>2.0</v>
      </c>
      <c r="H108" s="47">
        <v>1.0</v>
      </c>
      <c r="I108" s="47">
        <v>3.0</v>
      </c>
      <c r="J108" s="47">
        <v>2.0</v>
      </c>
      <c r="K108" s="47">
        <v>5.0</v>
      </c>
      <c r="L108" s="47">
        <v>1.0</v>
      </c>
      <c r="M108" s="47">
        <v>3.0</v>
      </c>
      <c r="N108" s="47">
        <v>2.0</v>
      </c>
      <c r="O108" s="47">
        <v>4.0</v>
      </c>
      <c r="P108" s="37"/>
      <c r="Q108" s="42">
        <f t="shared" si="37"/>
        <v>4</v>
      </c>
      <c r="R108" s="42">
        <f t="shared" si="38"/>
        <v>3</v>
      </c>
      <c r="S108" s="42">
        <f t="shared" si="39"/>
        <v>0</v>
      </c>
      <c r="T108" s="42">
        <f t="shared" si="40"/>
        <v>2</v>
      </c>
      <c r="U108" s="42">
        <f t="shared" si="41"/>
        <v>1</v>
      </c>
      <c r="V108" s="42">
        <f t="shared" si="42"/>
        <v>0</v>
      </c>
      <c r="W108" s="42">
        <f t="shared" si="43"/>
        <v>0</v>
      </c>
      <c r="X108" s="42">
        <f t="shared" si="44"/>
        <v>2</v>
      </c>
      <c r="Y108" s="42">
        <f t="shared" si="45"/>
        <v>1</v>
      </c>
      <c r="Z108" s="42">
        <f t="shared" si="46"/>
        <v>1</v>
      </c>
      <c r="AA108" s="52">
        <f t="shared" si="47"/>
        <v>14</v>
      </c>
      <c r="AB108" s="53">
        <f t="shared" si="48"/>
        <v>35</v>
      </c>
    </row>
    <row r="109" ht="15.75" customHeight="1">
      <c r="B109" s="43">
        <v>15.0</v>
      </c>
      <c r="C109" s="57" t="s">
        <v>215</v>
      </c>
      <c r="D109" s="43">
        <v>23.0</v>
      </c>
      <c r="E109" s="43" t="s">
        <v>200</v>
      </c>
      <c r="F109" s="47">
        <v>1.0</v>
      </c>
      <c r="G109" s="47">
        <v>2.0</v>
      </c>
      <c r="H109" s="47">
        <v>3.0</v>
      </c>
      <c r="I109" s="47">
        <v>4.0</v>
      </c>
      <c r="J109" s="47">
        <v>5.0</v>
      </c>
      <c r="K109" s="47">
        <v>1.0</v>
      </c>
      <c r="L109" s="47">
        <v>2.0</v>
      </c>
      <c r="M109" s="47">
        <v>3.0</v>
      </c>
      <c r="N109" s="47">
        <v>4.0</v>
      </c>
      <c r="O109" s="47">
        <v>5.0</v>
      </c>
      <c r="P109" s="37"/>
      <c r="Q109" s="42">
        <f t="shared" si="37"/>
        <v>0</v>
      </c>
      <c r="R109" s="42">
        <f t="shared" si="38"/>
        <v>3</v>
      </c>
      <c r="S109" s="42">
        <f t="shared" si="39"/>
        <v>2</v>
      </c>
      <c r="T109" s="42">
        <f t="shared" si="40"/>
        <v>1</v>
      </c>
      <c r="U109" s="42">
        <f t="shared" si="41"/>
        <v>4</v>
      </c>
      <c r="V109" s="42">
        <f t="shared" si="42"/>
        <v>4</v>
      </c>
      <c r="W109" s="42">
        <f t="shared" si="43"/>
        <v>1</v>
      </c>
      <c r="X109" s="42">
        <f t="shared" si="44"/>
        <v>2</v>
      </c>
      <c r="Y109" s="42">
        <f t="shared" si="45"/>
        <v>3</v>
      </c>
      <c r="Z109" s="42">
        <f t="shared" si="46"/>
        <v>0</v>
      </c>
      <c r="AA109" s="52">
        <f t="shared" si="47"/>
        <v>20</v>
      </c>
      <c r="AB109" s="53">
        <f t="shared" si="48"/>
        <v>50</v>
      </c>
    </row>
    <row r="110" ht="15.75" customHeight="1">
      <c r="B110" s="43">
        <v>16.0</v>
      </c>
      <c r="C110" s="57" t="s">
        <v>216</v>
      </c>
      <c r="D110" s="43">
        <v>25.0</v>
      </c>
      <c r="E110" s="43" t="s">
        <v>202</v>
      </c>
      <c r="F110" s="47">
        <v>2.0</v>
      </c>
      <c r="G110" s="47">
        <v>3.0</v>
      </c>
      <c r="H110" s="47">
        <v>4.0</v>
      </c>
      <c r="I110" s="47">
        <v>5.0</v>
      </c>
      <c r="J110" s="47">
        <v>1.0</v>
      </c>
      <c r="K110" s="47">
        <v>2.0</v>
      </c>
      <c r="L110" s="47">
        <v>3.0</v>
      </c>
      <c r="M110" s="47">
        <v>4.0</v>
      </c>
      <c r="N110" s="47">
        <v>5.0</v>
      </c>
      <c r="O110" s="47">
        <v>1.0</v>
      </c>
      <c r="P110" s="37"/>
      <c r="Q110" s="42">
        <f t="shared" si="37"/>
        <v>1</v>
      </c>
      <c r="R110" s="42">
        <f t="shared" si="38"/>
        <v>2</v>
      </c>
      <c r="S110" s="42">
        <f t="shared" si="39"/>
        <v>3</v>
      </c>
      <c r="T110" s="42">
        <f t="shared" si="40"/>
        <v>0</v>
      </c>
      <c r="U110" s="42">
        <f t="shared" si="41"/>
        <v>0</v>
      </c>
      <c r="V110" s="42">
        <f t="shared" si="42"/>
        <v>3</v>
      </c>
      <c r="W110" s="42">
        <f t="shared" si="43"/>
        <v>2</v>
      </c>
      <c r="X110" s="42">
        <f t="shared" si="44"/>
        <v>1</v>
      </c>
      <c r="Y110" s="42">
        <f t="shared" si="45"/>
        <v>4</v>
      </c>
      <c r="Z110" s="42">
        <f t="shared" si="46"/>
        <v>4</v>
      </c>
      <c r="AA110" s="52">
        <f t="shared" si="47"/>
        <v>20</v>
      </c>
      <c r="AB110" s="53">
        <f t="shared" si="48"/>
        <v>50</v>
      </c>
    </row>
    <row r="111" ht="15.75" customHeight="1">
      <c r="B111" s="43">
        <v>17.0</v>
      </c>
      <c r="C111" s="57" t="s">
        <v>217</v>
      </c>
      <c r="D111" s="43">
        <v>31.0</v>
      </c>
      <c r="E111" s="43" t="s">
        <v>200</v>
      </c>
      <c r="F111" s="47">
        <v>3.0</v>
      </c>
      <c r="G111" s="47">
        <v>4.0</v>
      </c>
      <c r="H111" s="47">
        <v>5.0</v>
      </c>
      <c r="I111" s="47">
        <v>1.0</v>
      </c>
      <c r="J111" s="47">
        <v>2.0</v>
      </c>
      <c r="K111" s="47">
        <v>3.0</v>
      </c>
      <c r="L111" s="47">
        <v>4.0</v>
      </c>
      <c r="M111" s="47">
        <v>5.0</v>
      </c>
      <c r="N111" s="47">
        <v>1.0</v>
      </c>
      <c r="O111" s="47">
        <v>2.0</v>
      </c>
      <c r="P111" s="37"/>
      <c r="Q111" s="42">
        <f t="shared" si="37"/>
        <v>2</v>
      </c>
      <c r="R111" s="42">
        <f t="shared" si="38"/>
        <v>1</v>
      </c>
      <c r="S111" s="42">
        <f t="shared" si="39"/>
        <v>4</v>
      </c>
      <c r="T111" s="42">
        <f t="shared" si="40"/>
        <v>4</v>
      </c>
      <c r="U111" s="42">
        <f t="shared" si="41"/>
        <v>1</v>
      </c>
      <c r="V111" s="42">
        <f t="shared" si="42"/>
        <v>2</v>
      </c>
      <c r="W111" s="42">
        <f t="shared" si="43"/>
        <v>3</v>
      </c>
      <c r="X111" s="42">
        <f t="shared" si="44"/>
        <v>0</v>
      </c>
      <c r="Y111" s="42">
        <f t="shared" si="45"/>
        <v>0</v>
      </c>
      <c r="Z111" s="42">
        <f t="shared" si="46"/>
        <v>3</v>
      </c>
      <c r="AA111" s="52">
        <f t="shared" si="47"/>
        <v>20</v>
      </c>
      <c r="AB111" s="53">
        <f t="shared" si="48"/>
        <v>50</v>
      </c>
    </row>
    <row r="112" ht="15.75" customHeight="1">
      <c r="B112" s="43">
        <v>18.0</v>
      </c>
      <c r="C112" s="57" t="s">
        <v>218</v>
      </c>
      <c r="D112" s="43">
        <v>27.0</v>
      </c>
      <c r="E112" s="43" t="s">
        <v>202</v>
      </c>
      <c r="F112" s="47">
        <v>4.0</v>
      </c>
      <c r="G112" s="47">
        <v>5.0</v>
      </c>
      <c r="H112" s="47">
        <v>1.0</v>
      </c>
      <c r="I112" s="47">
        <v>2.0</v>
      </c>
      <c r="J112" s="47">
        <v>3.0</v>
      </c>
      <c r="K112" s="47">
        <v>4.0</v>
      </c>
      <c r="L112" s="47">
        <v>5.0</v>
      </c>
      <c r="M112" s="47">
        <v>1.0</v>
      </c>
      <c r="N112" s="47">
        <v>2.0</v>
      </c>
      <c r="O112" s="47">
        <v>3.0</v>
      </c>
      <c r="P112" s="37"/>
      <c r="Q112" s="42">
        <f t="shared" si="37"/>
        <v>3</v>
      </c>
      <c r="R112" s="42">
        <f t="shared" si="38"/>
        <v>0</v>
      </c>
      <c r="S112" s="42">
        <f t="shared" si="39"/>
        <v>0</v>
      </c>
      <c r="T112" s="42">
        <f t="shared" si="40"/>
        <v>3</v>
      </c>
      <c r="U112" s="42">
        <f t="shared" si="41"/>
        <v>2</v>
      </c>
      <c r="V112" s="42">
        <f t="shared" si="42"/>
        <v>1</v>
      </c>
      <c r="W112" s="42">
        <f t="shared" si="43"/>
        <v>4</v>
      </c>
      <c r="X112" s="42">
        <f t="shared" si="44"/>
        <v>4</v>
      </c>
      <c r="Y112" s="42">
        <f t="shared" si="45"/>
        <v>1</v>
      </c>
      <c r="Z112" s="42">
        <f t="shared" si="46"/>
        <v>2</v>
      </c>
      <c r="AA112" s="52">
        <f t="shared" si="47"/>
        <v>20</v>
      </c>
      <c r="AB112" s="53">
        <f t="shared" si="48"/>
        <v>50</v>
      </c>
    </row>
    <row r="113" ht="15.75" customHeight="1">
      <c r="B113" s="43">
        <v>19.0</v>
      </c>
      <c r="C113" s="57" t="s">
        <v>219</v>
      </c>
      <c r="D113" s="43">
        <v>15.0</v>
      </c>
      <c r="E113" s="43" t="s">
        <v>200</v>
      </c>
      <c r="F113" s="47">
        <v>5.0</v>
      </c>
      <c r="G113" s="47">
        <v>1.0</v>
      </c>
      <c r="H113" s="47">
        <v>2.0</v>
      </c>
      <c r="I113" s="47">
        <v>3.0</v>
      </c>
      <c r="J113" s="47">
        <v>4.0</v>
      </c>
      <c r="K113" s="47">
        <v>5.0</v>
      </c>
      <c r="L113" s="47">
        <v>1.0</v>
      </c>
      <c r="M113" s="47">
        <v>2.0</v>
      </c>
      <c r="N113" s="47">
        <v>3.0</v>
      </c>
      <c r="O113" s="47">
        <v>4.0</v>
      </c>
      <c r="P113" s="37"/>
      <c r="Q113" s="42">
        <f t="shared" si="37"/>
        <v>4</v>
      </c>
      <c r="R113" s="42">
        <f t="shared" si="38"/>
        <v>4</v>
      </c>
      <c r="S113" s="42">
        <f t="shared" si="39"/>
        <v>1</v>
      </c>
      <c r="T113" s="42">
        <f t="shared" si="40"/>
        <v>2</v>
      </c>
      <c r="U113" s="42">
        <f t="shared" si="41"/>
        <v>3</v>
      </c>
      <c r="V113" s="42">
        <f t="shared" si="42"/>
        <v>0</v>
      </c>
      <c r="W113" s="42">
        <f t="shared" si="43"/>
        <v>0</v>
      </c>
      <c r="X113" s="42">
        <f t="shared" si="44"/>
        <v>3</v>
      </c>
      <c r="Y113" s="42">
        <f t="shared" si="45"/>
        <v>2</v>
      </c>
      <c r="Z113" s="42">
        <f t="shared" si="46"/>
        <v>1</v>
      </c>
      <c r="AA113" s="52">
        <f t="shared" si="47"/>
        <v>20</v>
      </c>
      <c r="AB113" s="53">
        <f t="shared" si="48"/>
        <v>50</v>
      </c>
    </row>
    <row r="114" ht="15.75" customHeight="1">
      <c r="B114" s="43">
        <v>20.0</v>
      </c>
      <c r="C114" s="57" t="s">
        <v>220</v>
      </c>
      <c r="D114" s="43">
        <v>24.0</v>
      </c>
      <c r="E114" s="43" t="s">
        <v>202</v>
      </c>
      <c r="F114" s="47">
        <v>3.0</v>
      </c>
      <c r="G114" s="47">
        <v>4.0</v>
      </c>
      <c r="H114" s="47">
        <v>2.0</v>
      </c>
      <c r="I114" s="47">
        <v>1.0</v>
      </c>
      <c r="J114" s="47">
        <v>5.0</v>
      </c>
      <c r="K114" s="47">
        <v>3.0</v>
      </c>
      <c r="L114" s="47">
        <v>4.0</v>
      </c>
      <c r="M114" s="47">
        <v>1.0</v>
      </c>
      <c r="N114" s="47">
        <v>2.0</v>
      </c>
      <c r="O114" s="47">
        <v>5.0</v>
      </c>
      <c r="P114" s="37"/>
      <c r="Q114" s="42">
        <f t="shared" si="37"/>
        <v>2</v>
      </c>
      <c r="R114" s="42">
        <f t="shared" si="38"/>
        <v>1</v>
      </c>
      <c r="S114" s="42">
        <f t="shared" si="39"/>
        <v>1</v>
      </c>
      <c r="T114" s="42">
        <f t="shared" si="40"/>
        <v>4</v>
      </c>
      <c r="U114" s="42">
        <f t="shared" si="41"/>
        <v>4</v>
      </c>
      <c r="V114" s="42">
        <f t="shared" si="42"/>
        <v>2</v>
      </c>
      <c r="W114" s="42">
        <f t="shared" si="43"/>
        <v>3</v>
      </c>
      <c r="X114" s="42">
        <f t="shared" si="44"/>
        <v>4</v>
      </c>
      <c r="Y114" s="42">
        <f t="shared" si="45"/>
        <v>1</v>
      </c>
      <c r="Z114" s="42">
        <f t="shared" si="46"/>
        <v>0</v>
      </c>
      <c r="AA114" s="52">
        <f t="shared" si="47"/>
        <v>22</v>
      </c>
      <c r="AB114" s="53">
        <f t="shared" si="48"/>
        <v>55</v>
      </c>
    </row>
    <row r="115" ht="15.75" customHeight="1">
      <c r="B115" s="43">
        <v>21.0</v>
      </c>
      <c r="C115" s="57" t="s">
        <v>221</v>
      </c>
      <c r="D115" s="43">
        <v>21.0</v>
      </c>
      <c r="E115" s="43" t="s">
        <v>202</v>
      </c>
      <c r="F115" s="47">
        <v>2.0</v>
      </c>
      <c r="G115" s="47">
        <v>5.0</v>
      </c>
      <c r="H115" s="47">
        <v>1.0</v>
      </c>
      <c r="I115" s="47">
        <v>4.0</v>
      </c>
      <c r="J115" s="47">
        <v>2.0</v>
      </c>
      <c r="K115" s="47">
        <v>3.0</v>
      </c>
      <c r="L115" s="47">
        <v>5.0</v>
      </c>
      <c r="M115" s="47">
        <v>1.0</v>
      </c>
      <c r="N115" s="47">
        <v>4.0</v>
      </c>
      <c r="O115" s="47">
        <v>2.0</v>
      </c>
      <c r="P115" s="37"/>
      <c r="Q115" s="42">
        <f t="shared" si="37"/>
        <v>1</v>
      </c>
      <c r="R115" s="42">
        <f t="shared" si="38"/>
        <v>0</v>
      </c>
      <c r="S115" s="42">
        <f t="shared" si="39"/>
        <v>0</v>
      </c>
      <c r="T115" s="42">
        <f t="shared" si="40"/>
        <v>1</v>
      </c>
      <c r="U115" s="42">
        <f t="shared" si="41"/>
        <v>1</v>
      </c>
      <c r="V115" s="42">
        <f t="shared" si="42"/>
        <v>2</v>
      </c>
      <c r="W115" s="42">
        <f t="shared" si="43"/>
        <v>4</v>
      </c>
      <c r="X115" s="42">
        <f t="shared" si="44"/>
        <v>4</v>
      </c>
      <c r="Y115" s="42">
        <f t="shared" si="45"/>
        <v>3</v>
      </c>
      <c r="Z115" s="42">
        <f t="shared" si="46"/>
        <v>3</v>
      </c>
      <c r="AA115" s="52">
        <f t="shared" si="47"/>
        <v>19</v>
      </c>
      <c r="AB115" s="53">
        <f t="shared" si="48"/>
        <v>47.5</v>
      </c>
    </row>
    <row r="116" ht="15.75" customHeight="1">
      <c r="B116" s="43">
        <v>22.0</v>
      </c>
      <c r="C116" s="57" t="s">
        <v>222</v>
      </c>
      <c r="D116" s="43">
        <v>28.0</v>
      </c>
      <c r="E116" s="43" t="s">
        <v>200</v>
      </c>
      <c r="F116" s="47">
        <v>3.0</v>
      </c>
      <c r="G116" s="47">
        <v>4.0</v>
      </c>
      <c r="H116" s="47">
        <v>2.0</v>
      </c>
      <c r="I116" s="47">
        <v>1.0</v>
      </c>
      <c r="J116" s="47">
        <v>3.0</v>
      </c>
      <c r="K116" s="47">
        <v>5.0</v>
      </c>
      <c r="L116" s="47">
        <v>4.0</v>
      </c>
      <c r="M116" s="47">
        <v>2.0</v>
      </c>
      <c r="N116" s="47">
        <v>1.0</v>
      </c>
      <c r="O116" s="47">
        <v>3.0</v>
      </c>
      <c r="P116" s="37"/>
      <c r="Q116" s="42">
        <f t="shared" si="37"/>
        <v>2</v>
      </c>
      <c r="R116" s="42">
        <f t="shared" si="38"/>
        <v>1</v>
      </c>
      <c r="S116" s="42">
        <f t="shared" si="39"/>
        <v>1</v>
      </c>
      <c r="T116" s="42">
        <f t="shared" si="40"/>
        <v>4</v>
      </c>
      <c r="U116" s="42">
        <f t="shared" si="41"/>
        <v>2</v>
      </c>
      <c r="V116" s="42">
        <f t="shared" si="42"/>
        <v>0</v>
      </c>
      <c r="W116" s="42">
        <f t="shared" si="43"/>
        <v>3</v>
      </c>
      <c r="X116" s="42">
        <f t="shared" si="44"/>
        <v>3</v>
      </c>
      <c r="Y116" s="42">
        <f t="shared" si="45"/>
        <v>0</v>
      </c>
      <c r="Z116" s="42">
        <f t="shared" si="46"/>
        <v>2</v>
      </c>
      <c r="AA116" s="52">
        <f t="shared" si="47"/>
        <v>18</v>
      </c>
      <c r="AB116" s="53">
        <f t="shared" si="48"/>
        <v>45</v>
      </c>
    </row>
    <row r="117" ht="15.75" customHeight="1">
      <c r="B117" s="43">
        <v>23.0</v>
      </c>
      <c r="C117" s="57" t="s">
        <v>223</v>
      </c>
      <c r="D117" s="43">
        <v>17.0</v>
      </c>
      <c r="E117" s="43" t="s">
        <v>202</v>
      </c>
      <c r="F117" s="47">
        <v>2.0</v>
      </c>
      <c r="G117" s="47">
        <v>5.0</v>
      </c>
      <c r="H117" s="47">
        <v>1.0</v>
      </c>
      <c r="I117" s="47">
        <v>5.0</v>
      </c>
      <c r="J117" s="47">
        <v>4.0</v>
      </c>
      <c r="K117" s="47">
        <v>5.0</v>
      </c>
      <c r="L117" s="47">
        <v>3.0</v>
      </c>
      <c r="M117" s="47">
        <v>4.0</v>
      </c>
      <c r="N117" s="47">
        <v>1.0</v>
      </c>
      <c r="O117" s="47">
        <v>3.0</v>
      </c>
      <c r="P117" s="37"/>
      <c r="Q117" s="42">
        <f t="shared" si="37"/>
        <v>1</v>
      </c>
      <c r="R117" s="42">
        <f t="shared" si="38"/>
        <v>0</v>
      </c>
      <c r="S117" s="42">
        <f t="shared" si="39"/>
        <v>0</v>
      </c>
      <c r="T117" s="42">
        <f t="shared" si="40"/>
        <v>0</v>
      </c>
      <c r="U117" s="42">
        <f t="shared" si="41"/>
        <v>3</v>
      </c>
      <c r="V117" s="42">
        <f t="shared" si="42"/>
        <v>0</v>
      </c>
      <c r="W117" s="42">
        <f t="shared" si="43"/>
        <v>2</v>
      </c>
      <c r="X117" s="42">
        <f t="shared" si="44"/>
        <v>1</v>
      </c>
      <c r="Y117" s="42">
        <f t="shared" si="45"/>
        <v>0</v>
      </c>
      <c r="Z117" s="42">
        <f t="shared" si="46"/>
        <v>2</v>
      </c>
      <c r="AA117" s="52">
        <f t="shared" si="47"/>
        <v>9</v>
      </c>
      <c r="AB117" s="53">
        <f t="shared" si="48"/>
        <v>22.5</v>
      </c>
    </row>
    <row r="118" ht="15.75" customHeight="1">
      <c r="B118" s="43">
        <v>24.0</v>
      </c>
      <c r="C118" s="57" t="s">
        <v>224</v>
      </c>
      <c r="D118" s="43">
        <v>32.0</v>
      </c>
      <c r="E118" s="43" t="s">
        <v>200</v>
      </c>
      <c r="F118" s="47">
        <v>1.0</v>
      </c>
      <c r="G118" s="47">
        <v>3.0</v>
      </c>
      <c r="H118" s="47">
        <v>2.0</v>
      </c>
      <c r="I118" s="47">
        <v>4.0</v>
      </c>
      <c r="J118" s="47">
        <v>3.0</v>
      </c>
      <c r="K118" s="47">
        <v>2.0</v>
      </c>
      <c r="L118" s="47">
        <v>5.0</v>
      </c>
      <c r="M118" s="47">
        <v>4.0</v>
      </c>
      <c r="N118" s="47">
        <v>4.0</v>
      </c>
      <c r="O118" s="47">
        <v>4.0</v>
      </c>
      <c r="P118" s="37"/>
      <c r="Q118" s="42">
        <f t="shared" si="37"/>
        <v>0</v>
      </c>
      <c r="R118" s="42">
        <f t="shared" si="38"/>
        <v>2</v>
      </c>
      <c r="S118" s="42">
        <f t="shared" si="39"/>
        <v>1</v>
      </c>
      <c r="T118" s="42">
        <f t="shared" si="40"/>
        <v>1</v>
      </c>
      <c r="U118" s="42">
        <f t="shared" si="41"/>
        <v>2</v>
      </c>
      <c r="V118" s="42">
        <f t="shared" si="42"/>
        <v>3</v>
      </c>
      <c r="W118" s="42">
        <f t="shared" si="43"/>
        <v>4</v>
      </c>
      <c r="X118" s="42">
        <f t="shared" si="44"/>
        <v>1</v>
      </c>
      <c r="Y118" s="42">
        <f t="shared" si="45"/>
        <v>3</v>
      </c>
      <c r="Z118" s="42">
        <f t="shared" si="46"/>
        <v>1</v>
      </c>
      <c r="AA118" s="52">
        <f t="shared" si="47"/>
        <v>18</v>
      </c>
      <c r="AB118" s="53">
        <f t="shared" si="48"/>
        <v>45</v>
      </c>
    </row>
    <row r="119" ht="15.75" customHeight="1">
      <c r="B119" s="43">
        <v>25.0</v>
      </c>
      <c r="C119" s="57" t="s">
        <v>225</v>
      </c>
      <c r="D119" s="43">
        <v>20.0</v>
      </c>
      <c r="E119" s="43" t="s">
        <v>202</v>
      </c>
      <c r="F119" s="47">
        <v>4.0</v>
      </c>
      <c r="G119" s="47">
        <v>4.0</v>
      </c>
      <c r="H119" s="47">
        <v>3.0</v>
      </c>
      <c r="I119" s="47">
        <v>5.0</v>
      </c>
      <c r="J119" s="47">
        <v>4.0</v>
      </c>
      <c r="K119" s="47">
        <v>3.0</v>
      </c>
      <c r="L119" s="47">
        <v>3.0</v>
      </c>
      <c r="M119" s="47">
        <v>3.0</v>
      </c>
      <c r="N119" s="47">
        <v>3.0</v>
      </c>
      <c r="O119" s="47">
        <v>3.0</v>
      </c>
      <c r="P119" s="37"/>
      <c r="Q119" s="42">
        <f t="shared" si="37"/>
        <v>3</v>
      </c>
      <c r="R119" s="42">
        <f t="shared" si="38"/>
        <v>1</v>
      </c>
      <c r="S119" s="42">
        <f t="shared" si="39"/>
        <v>2</v>
      </c>
      <c r="T119" s="42">
        <f t="shared" si="40"/>
        <v>0</v>
      </c>
      <c r="U119" s="42">
        <f t="shared" si="41"/>
        <v>3</v>
      </c>
      <c r="V119" s="42">
        <f t="shared" si="42"/>
        <v>2</v>
      </c>
      <c r="W119" s="42">
        <f t="shared" si="43"/>
        <v>2</v>
      </c>
      <c r="X119" s="42">
        <f t="shared" si="44"/>
        <v>2</v>
      </c>
      <c r="Y119" s="42">
        <f t="shared" si="45"/>
        <v>2</v>
      </c>
      <c r="Z119" s="42">
        <f t="shared" si="46"/>
        <v>2</v>
      </c>
      <c r="AA119" s="52">
        <f t="shared" si="47"/>
        <v>19</v>
      </c>
      <c r="AB119" s="53">
        <f t="shared" si="48"/>
        <v>47.5</v>
      </c>
    </row>
    <row r="120" ht="15.75" customHeight="1">
      <c r="B120" s="54"/>
      <c r="C120" s="41" t="s">
        <v>226</v>
      </c>
      <c r="D120" s="55">
        <f>AVERAGE(D95:D119)</f>
        <v>22.96</v>
      </c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37"/>
      <c r="Q120" s="38" t="s">
        <v>227</v>
      </c>
      <c r="R120" s="35"/>
      <c r="S120" s="35"/>
      <c r="T120" s="35"/>
      <c r="U120" s="35"/>
      <c r="V120" s="35"/>
      <c r="W120" s="35"/>
      <c r="X120" s="35"/>
      <c r="Y120" s="35"/>
      <c r="Z120" s="35"/>
      <c r="AA120" s="36"/>
      <c r="AB120" s="56">
        <f>AVERAGE(AB95:AB119)</f>
        <v>48.8</v>
      </c>
    </row>
    <row r="121" ht="15.75" customHeight="1"/>
    <row r="122" ht="27.0" customHeight="1">
      <c r="A122" s="32" t="s">
        <v>231</v>
      </c>
    </row>
    <row r="123" ht="15.75" customHeight="1">
      <c r="B123" s="33" t="s">
        <v>181</v>
      </c>
      <c r="C123" s="33" t="s">
        <v>182</v>
      </c>
      <c r="D123" s="33" t="s">
        <v>183</v>
      </c>
      <c r="E123" s="33" t="s">
        <v>184</v>
      </c>
      <c r="F123" s="34" t="s">
        <v>185</v>
      </c>
      <c r="G123" s="35"/>
      <c r="H123" s="35"/>
      <c r="I123" s="35"/>
      <c r="J123" s="35"/>
      <c r="K123" s="35"/>
      <c r="L123" s="35"/>
      <c r="M123" s="35"/>
      <c r="N123" s="35"/>
      <c r="O123" s="36"/>
      <c r="P123" s="37"/>
      <c r="Q123" s="38" t="s">
        <v>186</v>
      </c>
      <c r="R123" s="35"/>
      <c r="S123" s="35"/>
      <c r="T123" s="35"/>
      <c r="U123" s="35"/>
      <c r="V123" s="35"/>
      <c r="W123" s="35"/>
      <c r="X123" s="35"/>
      <c r="Y123" s="35"/>
      <c r="Z123" s="36"/>
      <c r="AA123" s="33" t="s">
        <v>187</v>
      </c>
      <c r="AB123" s="39" t="s">
        <v>188</v>
      </c>
    </row>
    <row r="124" ht="15.75" customHeight="1">
      <c r="B124" s="40"/>
      <c r="C124" s="40"/>
      <c r="D124" s="40"/>
      <c r="E124" s="40"/>
      <c r="F124" s="41" t="s">
        <v>189</v>
      </c>
      <c r="G124" s="41" t="s">
        <v>190</v>
      </c>
      <c r="H124" s="41" t="s">
        <v>191</v>
      </c>
      <c r="I124" s="41" t="s">
        <v>192</v>
      </c>
      <c r="J124" s="41" t="s">
        <v>193</v>
      </c>
      <c r="K124" s="41" t="s">
        <v>194</v>
      </c>
      <c r="L124" s="41" t="s">
        <v>195</v>
      </c>
      <c r="M124" s="41" t="s">
        <v>196</v>
      </c>
      <c r="N124" s="41" t="s">
        <v>197</v>
      </c>
      <c r="O124" s="41" t="s">
        <v>198</v>
      </c>
      <c r="P124" s="37"/>
      <c r="Q124" s="42" t="s">
        <v>189</v>
      </c>
      <c r="R124" s="42" t="s">
        <v>190</v>
      </c>
      <c r="S124" s="42" t="s">
        <v>191</v>
      </c>
      <c r="T124" s="42" t="s">
        <v>192</v>
      </c>
      <c r="U124" s="42" t="s">
        <v>193</v>
      </c>
      <c r="V124" s="42" t="s">
        <v>194</v>
      </c>
      <c r="W124" s="42" t="s">
        <v>195</v>
      </c>
      <c r="X124" s="42" t="s">
        <v>196</v>
      </c>
      <c r="Y124" s="42" t="s">
        <v>197</v>
      </c>
      <c r="Z124" s="42" t="s">
        <v>198</v>
      </c>
      <c r="AA124" s="40"/>
      <c r="AB124" s="40"/>
    </row>
    <row r="125" ht="15.75" customHeight="1">
      <c r="B125" s="43">
        <v>1.0</v>
      </c>
      <c r="C125" s="57" t="s">
        <v>199</v>
      </c>
      <c r="D125" s="43">
        <v>19.0</v>
      </c>
      <c r="E125" s="43" t="s">
        <v>202</v>
      </c>
      <c r="F125" s="47">
        <v>5.0</v>
      </c>
      <c r="G125" s="47">
        <v>4.0</v>
      </c>
      <c r="H125" s="47">
        <v>5.0</v>
      </c>
      <c r="I125" s="47">
        <v>4.0</v>
      </c>
      <c r="J125" s="47">
        <v>5.0</v>
      </c>
      <c r="K125" s="47">
        <v>4.0</v>
      </c>
      <c r="L125" s="47">
        <v>5.0</v>
      </c>
      <c r="M125" s="47">
        <v>4.0</v>
      </c>
      <c r="N125" s="47">
        <v>5.0</v>
      </c>
      <c r="O125" s="47">
        <v>5.0</v>
      </c>
      <c r="P125" s="37"/>
      <c r="Q125" s="51">
        <f t="shared" ref="Q125:Q149" si="49">F125-1</f>
        <v>4</v>
      </c>
      <c r="R125" s="51">
        <f t="shared" ref="R125:R149" si="50">5-G125</f>
        <v>1</v>
      </c>
      <c r="S125" s="51">
        <f t="shared" ref="S125:S149" si="51">H125-1</f>
        <v>4</v>
      </c>
      <c r="T125" s="51">
        <f t="shared" ref="T125:T149" si="52">5-I125</f>
        <v>1</v>
      </c>
      <c r="U125" s="51">
        <f t="shared" ref="U125:U149" si="53">J125-1</f>
        <v>4</v>
      </c>
      <c r="V125" s="51">
        <f t="shared" ref="V125:V149" si="54">5-K125</f>
        <v>1</v>
      </c>
      <c r="W125" s="51">
        <f t="shared" ref="W125:W149" si="55">L125-1</f>
        <v>4</v>
      </c>
      <c r="X125" s="51">
        <f t="shared" ref="X125:X149" si="56">5-M125</f>
        <v>1</v>
      </c>
      <c r="Y125" s="51">
        <f t="shared" ref="Y125:Y149" si="57">N125-1</f>
        <v>4</v>
      </c>
      <c r="Z125" s="51">
        <f t="shared" ref="Z125:Z149" si="58">5-O125</f>
        <v>0</v>
      </c>
      <c r="AA125" s="52">
        <f t="shared" ref="AA125:AA149" si="59">SUM(Q125:Z125)</f>
        <v>24</v>
      </c>
      <c r="AB125" s="53">
        <f t="shared" ref="AB125:AB149" si="60">AA125*2.5</f>
        <v>60</v>
      </c>
    </row>
    <row r="126" ht="15.75" customHeight="1">
      <c r="B126" s="43">
        <v>2.0</v>
      </c>
      <c r="C126" s="57" t="s">
        <v>201</v>
      </c>
      <c r="D126" s="43">
        <v>50.0</v>
      </c>
      <c r="E126" s="43" t="s">
        <v>202</v>
      </c>
      <c r="F126" s="47">
        <v>2.0</v>
      </c>
      <c r="G126" s="47">
        <v>5.0</v>
      </c>
      <c r="H126" s="47">
        <v>1.0</v>
      </c>
      <c r="I126" s="47">
        <v>3.0</v>
      </c>
      <c r="J126" s="47">
        <v>4.0</v>
      </c>
      <c r="K126" s="47">
        <v>1.0</v>
      </c>
      <c r="L126" s="47">
        <v>5.0</v>
      </c>
      <c r="M126" s="47">
        <v>1.0</v>
      </c>
      <c r="N126" s="47">
        <v>5.0</v>
      </c>
      <c r="O126" s="47">
        <v>2.0</v>
      </c>
      <c r="P126" s="37"/>
      <c r="Q126" s="42">
        <f t="shared" si="49"/>
        <v>1</v>
      </c>
      <c r="R126" s="42">
        <f t="shared" si="50"/>
        <v>0</v>
      </c>
      <c r="S126" s="42">
        <f t="shared" si="51"/>
        <v>0</v>
      </c>
      <c r="T126" s="42">
        <f t="shared" si="52"/>
        <v>2</v>
      </c>
      <c r="U126" s="42">
        <f t="shared" si="53"/>
        <v>3</v>
      </c>
      <c r="V126" s="42">
        <f t="shared" si="54"/>
        <v>4</v>
      </c>
      <c r="W126" s="42">
        <f t="shared" si="55"/>
        <v>4</v>
      </c>
      <c r="X126" s="42">
        <f t="shared" si="56"/>
        <v>4</v>
      </c>
      <c r="Y126" s="42">
        <f t="shared" si="57"/>
        <v>4</v>
      </c>
      <c r="Z126" s="42">
        <f t="shared" si="58"/>
        <v>3</v>
      </c>
      <c r="AA126" s="52">
        <f t="shared" si="59"/>
        <v>25</v>
      </c>
      <c r="AB126" s="53">
        <f t="shared" si="60"/>
        <v>62.5</v>
      </c>
    </row>
    <row r="127" ht="15.75" customHeight="1">
      <c r="B127" s="43">
        <v>3.0</v>
      </c>
      <c r="C127" s="57" t="s">
        <v>203</v>
      </c>
      <c r="D127" s="43">
        <v>21.0</v>
      </c>
      <c r="E127" s="43" t="s">
        <v>202</v>
      </c>
      <c r="F127" s="47">
        <v>1.0</v>
      </c>
      <c r="G127" s="47">
        <v>4.0</v>
      </c>
      <c r="H127" s="47">
        <v>1.0</v>
      </c>
      <c r="I127" s="47">
        <v>4.0</v>
      </c>
      <c r="J127" s="47">
        <v>1.0</v>
      </c>
      <c r="K127" s="47">
        <v>5.0</v>
      </c>
      <c r="L127" s="47">
        <v>1.0</v>
      </c>
      <c r="M127" s="47">
        <v>4.0</v>
      </c>
      <c r="N127" s="47">
        <v>1.0</v>
      </c>
      <c r="O127" s="47">
        <v>4.0</v>
      </c>
      <c r="P127" s="37"/>
      <c r="Q127" s="42">
        <f t="shared" si="49"/>
        <v>0</v>
      </c>
      <c r="R127" s="42">
        <f t="shared" si="50"/>
        <v>1</v>
      </c>
      <c r="S127" s="42">
        <f t="shared" si="51"/>
        <v>0</v>
      </c>
      <c r="T127" s="42">
        <f t="shared" si="52"/>
        <v>1</v>
      </c>
      <c r="U127" s="42">
        <f t="shared" si="53"/>
        <v>0</v>
      </c>
      <c r="V127" s="42">
        <f t="shared" si="54"/>
        <v>0</v>
      </c>
      <c r="W127" s="42">
        <f t="shared" si="55"/>
        <v>0</v>
      </c>
      <c r="X127" s="42">
        <f t="shared" si="56"/>
        <v>1</v>
      </c>
      <c r="Y127" s="42">
        <f t="shared" si="57"/>
        <v>0</v>
      </c>
      <c r="Z127" s="42">
        <f t="shared" si="58"/>
        <v>1</v>
      </c>
      <c r="AA127" s="52">
        <f t="shared" si="59"/>
        <v>4</v>
      </c>
      <c r="AB127" s="53">
        <f t="shared" si="60"/>
        <v>10</v>
      </c>
    </row>
    <row r="128" ht="15.75" customHeight="1">
      <c r="B128" s="43">
        <v>4.0</v>
      </c>
      <c r="C128" s="57" t="s">
        <v>204</v>
      </c>
      <c r="D128" s="43">
        <v>18.0</v>
      </c>
      <c r="E128" s="43" t="s">
        <v>202</v>
      </c>
      <c r="F128" s="47">
        <v>4.0</v>
      </c>
      <c r="G128" s="47">
        <v>4.0</v>
      </c>
      <c r="H128" s="47">
        <v>3.0</v>
      </c>
      <c r="I128" s="47">
        <v>4.0</v>
      </c>
      <c r="J128" s="47">
        <v>4.0</v>
      </c>
      <c r="K128" s="47">
        <v>3.0</v>
      </c>
      <c r="L128" s="47">
        <v>3.0</v>
      </c>
      <c r="M128" s="47">
        <v>3.0</v>
      </c>
      <c r="N128" s="47">
        <v>4.0</v>
      </c>
      <c r="O128" s="47">
        <v>3.0</v>
      </c>
      <c r="P128" s="37"/>
      <c r="Q128" s="42">
        <f t="shared" si="49"/>
        <v>3</v>
      </c>
      <c r="R128" s="42">
        <f t="shared" si="50"/>
        <v>1</v>
      </c>
      <c r="S128" s="42">
        <f t="shared" si="51"/>
        <v>2</v>
      </c>
      <c r="T128" s="42">
        <f t="shared" si="52"/>
        <v>1</v>
      </c>
      <c r="U128" s="42">
        <f t="shared" si="53"/>
        <v>3</v>
      </c>
      <c r="V128" s="42">
        <f t="shared" si="54"/>
        <v>2</v>
      </c>
      <c r="W128" s="42">
        <f t="shared" si="55"/>
        <v>2</v>
      </c>
      <c r="X128" s="42">
        <f t="shared" si="56"/>
        <v>2</v>
      </c>
      <c r="Y128" s="42">
        <f t="shared" si="57"/>
        <v>3</v>
      </c>
      <c r="Z128" s="42">
        <f t="shared" si="58"/>
        <v>2</v>
      </c>
      <c r="AA128" s="52">
        <f t="shared" si="59"/>
        <v>21</v>
      </c>
      <c r="AB128" s="53">
        <f t="shared" si="60"/>
        <v>52.5</v>
      </c>
    </row>
    <row r="129" ht="15.75" customHeight="1">
      <c r="B129" s="43">
        <v>5.0</v>
      </c>
      <c r="C129" s="57" t="s">
        <v>205</v>
      </c>
      <c r="D129" s="43">
        <v>19.0</v>
      </c>
      <c r="E129" s="43" t="s">
        <v>202</v>
      </c>
      <c r="F129" s="47">
        <v>1.0</v>
      </c>
      <c r="G129" s="47">
        <v>1.0</v>
      </c>
      <c r="H129" s="47">
        <v>5.0</v>
      </c>
      <c r="I129" s="47">
        <v>2.0</v>
      </c>
      <c r="J129" s="47">
        <v>3.0</v>
      </c>
      <c r="K129" s="47">
        <v>2.0</v>
      </c>
      <c r="L129" s="47">
        <v>4.0</v>
      </c>
      <c r="M129" s="47">
        <v>4.0</v>
      </c>
      <c r="N129" s="47">
        <v>4.0</v>
      </c>
      <c r="O129" s="47">
        <v>4.0</v>
      </c>
      <c r="P129" s="37"/>
      <c r="Q129" s="42">
        <f t="shared" si="49"/>
        <v>0</v>
      </c>
      <c r="R129" s="42">
        <f t="shared" si="50"/>
        <v>4</v>
      </c>
      <c r="S129" s="42">
        <f t="shared" si="51"/>
        <v>4</v>
      </c>
      <c r="T129" s="42">
        <f t="shared" si="52"/>
        <v>3</v>
      </c>
      <c r="U129" s="42">
        <f t="shared" si="53"/>
        <v>2</v>
      </c>
      <c r="V129" s="42">
        <f t="shared" si="54"/>
        <v>3</v>
      </c>
      <c r="W129" s="42">
        <f t="shared" si="55"/>
        <v>3</v>
      </c>
      <c r="X129" s="42">
        <f t="shared" si="56"/>
        <v>1</v>
      </c>
      <c r="Y129" s="42">
        <f t="shared" si="57"/>
        <v>3</v>
      </c>
      <c r="Z129" s="42">
        <f t="shared" si="58"/>
        <v>1</v>
      </c>
      <c r="AA129" s="52">
        <f t="shared" si="59"/>
        <v>24</v>
      </c>
      <c r="AB129" s="53">
        <f t="shared" si="60"/>
        <v>60</v>
      </c>
    </row>
    <row r="130" ht="15.75" customHeight="1">
      <c r="B130" s="43">
        <v>6.0</v>
      </c>
      <c r="C130" s="57" t="s">
        <v>206</v>
      </c>
      <c r="D130" s="43">
        <v>20.0</v>
      </c>
      <c r="E130" s="43" t="s">
        <v>202</v>
      </c>
      <c r="F130" s="47">
        <v>3.0</v>
      </c>
      <c r="G130" s="47">
        <v>3.0</v>
      </c>
      <c r="H130" s="47">
        <v>5.0</v>
      </c>
      <c r="I130" s="47">
        <v>3.0</v>
      </c>
      <c r="J130" s="47">
        <v>3.0</v>
      </c>
      <c r="K130" s="47">
        <v>2.0</v>
      </c>
      <c r="L130" s="47">
        <v>3.0</v>
      </c>
      <c r="M130" s="47">
        <v>4.0</v>
      </c>
      <c r="N130" s="47">
        <v>5.0</v>
      </c>
      <c r="O130" s="47">
        <v>4.0</v>
      </c>
      <c r="P130" s="37"/>
      <c r="Q130" s="42">
        <f t="shared" si="49"/>
        <v>2</v>
      </c>
      <c r="R130" s="42">
        <f t="shared" si="50"/>
        <v>2</v>
      </c>
      <c r="S130" s="42">
        <f t="shared" si="51"/>
        <v>4</v>
      </c>
      <c r="T130" s="42">
        <f t="shared" si="52"/>
        <v>2</v>
      </c>
      <c r="U130" s="42">
        <f t="shared" si="53"/>
        <v>2</v>
      </c>
      <c r="V130" s="42">
        <f t="shared" si="54"/>
        <v>3</v>
      </c>
      <c r="W130" s="42">
        <f t="shared" si="55"/>
        <v>2</v>
      </c>
      <c r="X130" s="42">
        <f t="shared" si="56"/>
        <v>1</v>
      </c>
      <c r="Y130" s="42">
        <f t="shared" si="57"/>
        <v>4</v>
      </c>
      <c r="Z130" s="42">
        <f t="shared" si="58"/>
        <v>1</v>
      </c>
      <c r="AA130" s="52">
        <f t="shared" si="59"/>
        <v>23</v>
      </c>
      <c r="AB130" s="53">
        <f t="shared" si="60"/>
        <v>57.5</v>
      </c>
    </row>
    <row r="131" ht="15.75" customHeight="1">
      <c r="B131" s="43">
        <v>7.0</v>
      </c>
      <c r="C131" s="57" t="s">
        <v>207</v>
      </c>
      <c r="D131" s="43">
        <v>20.0</v>
      </c>
      <c r="E131" s="43" t="s">
        <v>200</v>
      </c>
      <c r="F131" s="47">
        <v>5.0</v>
      </c>
      <c r="G131" s="47">
        <v>4.0</v>
      </c>
      <c r="H131" s="47">
        <v>3.0</v>
      </c>
      <c r="I131" s="47">
        <v>2.0</v>
      </c>
      <c r="J131" s="47">
        <v>3.0</v>
      </c>
      <c r="K131" s="47">
        <v>4.0</v>
      </c>
      <c r="L131" s="47">
        <v>4.0</v>
      </c>
      <c r="M131" s="47">
        <v>5.0</v>
      </c>
      <c r="N131" s="47">
        <v>4.0</v>
      </c>
      <c r="O131" s="47">
        <v>4.0</v>
      </c>
      <c r="P131" s="37"/>
      <c r="Q131" s="42">
        <f t="shared" si="49"/>
        <v>4</v>
      </c>
      <c r="R131" s="42">
        <f t="shared" si="50"/>
        <v>1</v>
      </c>
      <c r="S131" s="42">
        <f t="shared" si="51"/>
        <v>2</v>
      </c>
      <c r="T131" s="42">
        <f t="shared" si="52"/>
        <v>3</v>
      </c>
      <c r="U131" s="42">
        <f t="shared" si="53"/>
        <v>2</v>
      </c>
      <c r="V131" s="42">
        <f t="shared" si="54"/>
        <v>1</v>
      </c>
      <c r="W131" s="42">
        <f t="shared" si="55"/>
        <v>3</v>
      </c>
      <c r="X131" s="42">
        <f t="shared" si="56"/>
        <v>0</v>
      </c>
      <c r="Y131" s="42">
        <f t="shared" si="57"/>
        <v>3</v>
      </c>
      <c r="Z131" s="42">
        <f t="shared" si="58"/>
        <v>1</v>
      </c>
      <c r="AA131" s="52">
        <f t="shared" si="59"/>
        <v>20</v>
      </c>
      <c r="AB131" s="53">
        <f t="shared" si="60"/>
        <v>50</v>
      </c>
    </row>
    <row r="132" ht="15.75" customHeight="1">
      <c r="B132" s="43">
        <v>8.0</v>
      </c>
      <c r="C132" s="57" t="s">
        <v>208</v>
      </c>
      <c r="D132" s="43">
        <v>19.0</v>
      </c>
      <c r="E132" s="43" t="s">
        <v>200</v>
      </c>
      <c r="F132" s="47">
        <v>3.0</v>
      </c>
      <c r="G132" s="47">
        <v>2.0</v>
      </c>
      <c r="H132" s="47">
        <v>3.0</v>
      </c>
      <c r="I132" s="47">
        <v>2.0</v>
      </c>
      <c r="J132" s="47">
        <v>4.0</v>
      </c>
      <c r="K132" s="47">
        <v>2.0</v>
      </c>
      <c r="L132" s="47">
        <v>3.0</v>
      </c>
      <c r="M132" s="47">
        <v>2.0</v>
      </c>
      <c r="N132" s="47">
        <v>3.0</v>
      </c>
      <c r="O132" s="47">
        <v>2.0</v>
      </c>
      <c r="P132" s="37"/>
      <c r="Q132" s="42">
        <f t="shared" si="49"/>
        <v>2</v>
      </c>
      <c r="R132" s="42">
        <f t="shared" si="50"/>
        <v>3</v>
      </c>
      <c r="S132" s="42">
        <f t="shared" si="51"/>
        <v>2</v>
      </c>
      <c r="T132" s="42">
        <f t="shared" si="52"/>
        <v>3</v>
      </c>
      <c r="U132" s="42">
        <f t="shared" si="53"/>
        <v>3</v>
      </c>
      <c r="V132" s="42">
        <f t="shared" si="54"/>
        <v>3</v>
      </c>
      <c r="W132" s="42">
        <f t="shared" si="55"/>
        <v>2</v>
      </c>
      <c r="X132" s="42">
        <f t="shared" si="56"/>
        <v>3</v>
      </c>
      <c r="Y132" s="42">
        <f t="shared" si="57"/>
        <v>2</v>
      </c>
      <c r="Z132" s="42">
        <f t="shared" si="58"/>
        <v>3</v>
      </c>
      <c r="AA132" s="52">
        <f t="shared" si="59"/>
        <v>26</v>
      </c>
      <c r="AB132" s="53">
        <f t="shared" si="60"/>
        <v>65</v>
      </c>
    </row>
    <row r="133" ht="15.75" customHeight="1">
      <c r="B133" s="43">
        <v>9.0</v>
      </c>
      <c r="C133" s="57" t="s">
        <v>209</v>
      </c>
      <c r="D133" s="43">
        <v>30.0</v>
      </c>
      <c r="E133" s="43" t="s">
        <v>200</v>
      </c>
      <c r="F133" s="47">
        <v>2.0</v>
      </c>
      <c r="G133" s="47">
        <v>1.0</v>
      </c>
      <c r="H133" s="47">
        <v>5.0</v>
      </c>
      <c r="I133" s="47">
        <v>3.0</v>
      </c>
      <c r="J133" s="47">
        <v>1.0</v>
      </c>
      <c r="K133" s="47">
        <v>4.0</v>
      </c>
      <c r="L133" s="47">
        <v>3.0</v>
      </c>
      <c r="M133" s="47">
        <v>2.0</v>
      </c>
      <c r="N133" s="47">
        <v>4.0</v>
      </c>
      <c r="O133" s="47">
        <v>2.0</v>
      </c>
      <c r="P133" s="37"/>
      <c r="Q133" s="42">
        <f t="shared" si="49"/>
        <v>1</v>
      </c>
      <c r="R133" s="42">
        <f t="shared" si="50"/>
        <v>4</v>
      </c>
      <c r="S133" s="42">
        <f t="shared" si="51"/>
        <v>4</v>
      </c>
      <c r="T133" s="42">
        <f t="shared" si="52"/>
        <v>2</v>
      </c>
      <c r="U133" s="42">
        <f t="shared" si="53"/>
        <v>0</v>
      </c>
      <c r="V133" s="42">
        <f t="shared" si="54"/>
        <v>1</v>
      </c>
      <c r="W133" s="42">
        <f t="shared" si="55"/>
        <v>2</v>
      </c>
      <c r="X133" s="42">
        <f t="shared" si="56"/>
        <v>3</v>
      </c>
      <c r="Y133" s="42">
        <f t="shared" si="57"/>
        <v>3</v>
      </c>
      <c r="Z133" s="42">
        <f t="shared" si="58"/>
        <v>3</v>
      </c>
      <c r="AA133" s="52">
        <f t="shared" si="59"/>
        <v>23</v>
      </c>
      <c r="AB133" s="53">
        <f t="shared" si="60"/>
        <v>57.5</v>
      </c>
    </row>
    <row r="134" ht="15.75" customHeight="1">
      <c r="B134" s="43">
        <v>10.0</v>
      </c>
      <c r="C134" s="57" t="s">
        <v>210</v>
      </c>
      <c r="D134" s="43">
        <v>19.0</v>
      </c>
      <c r="E134" s="43" t="s">
        <v>202</v>
      </c>
      <c r="F134" s="47">
        <v>5.0</v>
      </c>
      <c r="G134" s="47">
        <v>2.0</v>
      </c>
      <c r="H134" s="47">
        <v>3.0</v>
      </c>
      <c r="I134" s="47">
        <v>2.0</v>
      </c>
      <c r="J134" s="47">
        <v>2.0</v>
      </c>
      <c r="K134" s="47">
        <v>1.0</v>
      </c>
      <c r="L134" s="47">
        <v>4.0</v>
      </c>
      <c r="M134" s="47">
        <v>5.0</v>
      </c>
      <c r="N134" s="47">
        <v>1.0</v>
      </c>
      <c r="O134" s="47">
        <v>3.0</v>
      </c>
      <c r="P134" s="37"/>
      <c r="Q134" s="42">
        <f t="shared" si="49"/>
        <v>4</v>
      </c>
      <c r="R134" s="42">
        <f t="shared" si="50"/>
        <v>3</v>
      </c>
      <c r="S134" s="42">
        <f t="shared" si="51"/>
        <v>2</v>
      </c>
      <c r="T134" s="42">
        <f t="shared" si="52"/>
        <v>3</v>
      </c>
      <c r="U134" s="42">
        <f t="shared" si="53"/>
        <v>1</v>
      </c>
      <c r="V134" s="42">
        <f t="shared" si="54"/>
        <v>4</v>
      </c>
      <c r="W134" s="42">
        <f t="shared" si="55"/>
        <v>3</v>
      </c>
      <c r="X134" s="42">
        <f t="shared" si="56"/>
        <v>0</v>
      </c>
      <c r="Y134" s="42">
        <f t="shared" si="57"/>
        <v>0</v>
      </c>
      <c r="Z134" s="42">
        <f t="shared" si="58"/>
        <v>2</v>
      </c>
      <c r="AA134" s="52">
        <f t="shared" si="59"/>
        <v>22</v>
      </c>
      <c r="AB134" s="53">
        <f t="shared" si="60"/>
        <v>55</v>
      </c>
    </row>
    <row r="135" ht="15.75" customHeight="1">
      <c r="B135" s="43">
        <v>11.0</v>
      </c>
      <c r="C135" s="57" t="s">
        <v>211</v>
      </c>
      <c r="D135" s="43">
        <v>22.0</v>
      </c>
      <c r="E135" s="43" t="s">
        <v>200</v>
      </c>
      <c r="F135" s="47">
        <v>1.0</v>
      </c>
      <c r="G135" s="47">
        <v>3.0</v>
      </c>
      <c r="H135" s="47">
        <v>4.0</v>
      </c>
      <c r="I135" s="47">
        <v>5.0</v>
      </c>
      <c r="J135" s="47">
        <v>2.0</v>
      </c>
      <c r="K135" s="47">
        <v>2.0</v>
      </c>
      <c r="L135" s="47">
        <v>2.0</v>
      </c>
      <c r="M135" s="47">
        <v>3.0</v>
      </c>
      <c r="N135" s="47">
        <v>4.0</v>
      </c>
      <c r="O135" s="47">
        <v>1.0</v>
      </c>
      <c r="P135" s="37"/>
      <c r="Q135" s="42">
        <f t="shared" si="49"/>
        <v>0</v>
      </c>
      <c r="R135" s="42">
        <f t="shared" si="50"/>
        <v>2</v>
      </c>
      <c r="S135" s="42">
        <f t="shared" si="51"/>
        <v>3</v>
      </c>
      <c r="T135" s="42">
        <f t="shared" si="52"/>
        <v>0</v>
      </c>
      <c r="U135" s="42">
        <f t="shared" si="53"/>
        <v>1</v>
      </c>
      <c r="V135" s="42">
        <f t="shared" si="54"/>
        <v>3</v>
      </c>
      <c r="W135" s="42">
        <f t="shared" si="55"/>
        <v>1</v>
      </c>
      <c r="X135" s="42">
        <f t="shared" si="56"/>
        <v>2</v>
      </c>
      <c r="Y135" s="42">
        <f t="shared" si="57"/>
        <v>3</v>
      </c>
      <c r="Z135" s="42">
        <f t="shared" si="58"/>
        <v>4</v>
      </c>
      <c r="AA135" s="52">
        <f t="shared" si="59"/>
        <v>19</v>
      </c>
      <c r="AB135" s="53">
        <f t="shared" si="60"/>
        <v>47.5</v>
      </c>
    </row>
    <row r="136" ht="15.75" customHeight="1">
      <c r="B136" s="43">
        <v>12.0</v>
      </c>
      <c r="C136" s="57" t="s">
        <v>212</v>
      </c>
      <c r="D136" s="43">
        <v>35.0</v>
      </c>
      <c r="E136" s="43" t="s">
        <v>202</v>
      </c>
      <c r="F136" s="47">
        <v>3.0</v>
      </c>
      <c r="G136" s="47">
        <v>4.0</v>
      </c>
      <c r="H136" s="47">
        <v>1.0</v>
      </c>
      <c r="I136" s="47">
        <v>2.0</v>
      </c>
      <c r="J136" s="47">
        <v>5.0</v>
      </c>
      <c r="K136" s="47">
        <v>5.0</v>
      </c>
      <c r="L136" s="47">
        <v>1.0</v>
      </c>
      <c r="M136" s="47">
        <v>4.0</v>
      </c>
      <c r="N136" s="47">
        <v>2.0</v>
      </c>
      <c r="O136" s="47">
        <v>4.0</v>
      </c>
      <c r="P136" s="37"/>
      <c r="Q136" s="42">
        <f t="shared" si="49"/>
        <v>2</v>
      </c>
      <c r="R136" s="42">
        <f t="shared" si="50"/>
        <v>1</v>
      </c>
      <c r="S136" s="42">
        <f t="shared" si="51"/>
        <v>0</v>
      </c>
      <c r="T136" s="42">
        <f t="shared" si="52"/>
        <v>3</v>
      </c>
      <c r="U136" s="42">
        <f t="shared" si="53"/>
        <v>4</v>
      </c>
      <c r="V136" s="42">
        <f t="shared" si="54"/>
        <v>0</v>
      </c>
      <c r="W136" s="42">
        <f t="shared" si="55"/>
        <v>0</v>
      </c>
      <c r="X136" s="42">
        <f t="shared" si="56"/>
        <v>1</v>
      </c>
      <c r="Y136" s="42">
        <f t="shared" si="57"/>
        <v>1</v>
      </c>
      <c r="Z136" s="42">
        <f t="shared" si="58"/>
        <v>1</v>
      </c>
      <c r="AA136" s="52">
        <f t="shared" si="59"/>
        <v>13</v>
      </c>
      <c r="AB136" s="53">
        <f t="shared" si="60"/>
        <v>32.5</v>
      </c>
    </row>
    <row r="137" ht="15.75" customHeight="1">
      <c r="B137" s="43">
        <v>13.0</v>
      </c>
      <c r="C137" s="57" t="s">
        <v>213</v>
      </c>
      <c r="D137" s="43">
        <v>15.0</v>
      </c>
      <c r="E137" s="43" t="s">
        <v>200</v>
      </c>
      <c r="F137" s="47">
        <v>4.0</v>
      </c>
      <c r="G137" s="47">
        <v>1.0</v>
      </c>
      <c r="H137" s="47">
        <v>4.0</v>
      </c>
      <c r="I137" s="47">
        <v>3.0</v>
      </c>
      <c r="J137" s="47">
        <v>1.0</v>
      </c>
      <c r="K137" s="47">
        <v>2.0</v>
      </c>
      <c r="L137" s="47">
        <v>3.0</v>
      </c>
      <c r="M137" s="47">
        <v>2.0</v>
      </c>
      <c r="N137" s="47">
        <v>3.0</v>
      </c>
      <c r="O137" s="47">
        <v>5.0</v>
      </c>
      <c r="P137" s="37"/>
      <c r="Q137" s="42">
        <f t="shared" si="49"/>
        <v>3</v>
      </c>
      <c r="R137" s="42">
        <f t="shared" si="50"/>
        <v>4</v>
      </c>
      <c r="S137" s="42">
        <f t="shared" si="51"/>
        <v>3</v>
      </c>
      <c r="T137" s="42">
        <f t="shared" si="52"/>
        <v>2</v>
      </c>
      <c r="U137" s="42">
        <f t="shared" si="53"/>
        <v>0</v>
      </c>
      <c r="V137" s="42">
        <f t="shared" si="54"/>
        <v>3</v>
      </c>
      <c r="W137" s="42">
        <f t="shared" si="55"/>
        <v>2</v>
      </c>
      <c r="X137" s="42">
        <f t="shared" si="56"/>
        <v>3</v>
      </c>
      <c r="Y137" s="42">
        <f t="shared" si="57"/>
        <v>2</v>
      </c>
      <c r="Z137" s="42">
        <f t="shared" si="58"/>
        <v>0</v>
      </c>
      <c r="AA137" s="52">
        <f t="shared" si="59"/>
        <v>22</v>
      </c>
      <c r="AB137" s="53">
        <f t="shared" si="60"/>
        <v>55</v>
      </c>
    </row>
    <row r="138" ht="15.75" customHeight="1">
      <c r="B138" s="43">
        <v>14.0</v>
      </c>
      <c r="C138" s="57" t="s">
        <v>214</v>
      </c>
      <c r="D138" s="43">
        <v>21.0</v>
      </c>
      <c r="E138" s="43" t="s">
        <v>202</v>
      </c>
      <c r="F138" s="47">
        <v>5.0</v>
      </c>
      <c r="G138" s="47">
        <v>4.0</v>
      </c>
      <c r="H138" s="47">
        <v>2.0</v>
      </c>
      <c r="I138" s="47">
        <v>3.0</v>
      </c>
      <c r="J138" s="47">
        <v>3.0</v>
      </c>
      <c r="K138" s="47">
        <v>1.0</v>
      </c>
      <c r="L138" s="47">
        <v>2.0</v>
      </c>
      <c r="M138" s="47">
        <v>4.0</v>
      </c>
      <c r="N138" s="47">
        <v>5.0</v>
      </c>
      <c r="O138" s="47">
        <v>2.0</v>
      </c>
      <c r="P138" s="37"/>
      <c r="Q138" s="42">
        <f t="shared" si="49"/>
        <v>4</v>
      </c>
      <c r="R138" s="42">
        <f t="shared" si="50"/>
        <v>1</v>
      </c>
      <c r="S138" s="42">
        <f t="shared" si="51"/>
        <v>1</v>
      </c>
      <c r="T138" s="42">
        <f t="shared" si="52"/>
        <v>2</v>
      </c>
      <c r="U138" s="42">
        <f t="shared" si="53"/>
        <v>2</v>
      </c>
      <c r="V138" s="42">
        <f t="shared" si="54"/>
        <v>4</v>
      </c>
      <c r="W138" s="42">
        <f t="shared" si="55"/>
        <v>1</v>
      </c>
      <c r="X138" s="42">
        <f t="shared" si="56"/>
        <v>1</v>
      </c>
      <c r="Y138" s="42">
        <f t="shared" si="57"/>
        <v>4</v>
      </c>
      <c r="Z138" s="42">
        <f t="shared" si="58"/>
        <v>3</v>
      </c>
      <c r="AA138" s="52">
        <f t="shared" si="59"/>
        <v>23</v>
      </c>
      <c r="AB138" s="53">
        <f t="shared" si="60"/>
        <v>57.5</v>
      </c>
    </row>
    <row r="139" ht="15.75" customHeight="1">
      <c r="B139" s="43">
        <v>15.0</v>
      </c>
      <c r="C139" s="57" t="s">
        <v>215</v>
      </c>
      <c r="D139" s="43">
        <v>28.0</v>
      </c>
      <c r="E139" s="43" t="s">
        <v>200</v>
      </c>
      <c r="F139" s="47">
        <v>2.0</v>
      </c>
      <c r="G139" s="47">
        <v>5.0</v>
      </c>
      <c r="H139" s="47">
        <v>3.0</v>
      </c>
      <c r="I139" s="47">
        <v>1.0</v>
      </c>
      <c r="J139" s="47">
        <v>2.0</v>
      </c>
      <c r="K139" s="47">
        <v>5.0</v>
      </c>
      <c r="L139" s="47">
        <v>1.0</v>
      </c>
      <c r="M139" s="47">
        <v>2.0</v>
      </c>
      <c r="N139" s="47">
        <v>4.0</v>
      </c>
      <c r="O139" s="47">
        <v>3.0</v>
      </c>
      <c r="P139" s="37"/>
      <c r="Q139" s="42">
        <f t="shared" si="49"/>
        <v>1</v>
      </c>
      <c r="R139" s="42">
        <f t="shared" si="50"/>
        <v>0</v>
      </c>
      <c r="S139" s="42">
        <f t="shared" si="51"/>
        <v>2</v>
      </c>
      <c r="T139" s="42">
        <f t="shared" si="52"/>
        <v>4</v>
      </c>
      <c r="U139" s="42">
        <f t="shared" si="53"/>
        <v>1</v>
      </c>
      <c r="V139" s="42">
        <f t="shared" si="54"/>
        <v>0</v>
      </c>
      <c r="W139" s="42">
        <f t="shared" si="55"/>
        <v>0</v>
      </c>
      <c r="X139" s="42">
        <f t="shared" si="56"/>
        <v>3</v>
      </c>
      <c r="Y139" s="42">
        <f t="shared" si="57"/>
        <v>3</v>
      </c>
      <c r="Z139" s="42">
        <f t="shared" si="58"/>
        <v>2</v>
      </c>
      <c r="AA139" s="52">
        <f t="shared" si="59"/>
        <v>16</v>
      </c>
      <c r="AB139" s="53">
        <f t="shared" si="60"/>
        <v>40</v>
      </c>
    </row>
    <row r="140" ht="15.75" customHeight="1">
      <c r="B140" s="43">
        <v>16.0</v>
      </c>
      <c r="C140" s="57" t="s">
        <v>216</v>
      </c>
      <c r="D140" s="43">
        <v>27.0</v>
      </c>
      <c r="E140" s="43" t="s">
        <v>202</v>
      </c>
      <c r="F140" s="47">
        <v>3.0</v>
      </c>
      <c r="G140" s="47">
        <v>2.0</v>
      </c>
      <c r="H140" s="47">
        <v>5.0</v>
      </c>
      <c r="I140" s="47">
        <v>3.0</v>
      </c>
      <c r="J140" s="47">
        <v>4.0</v>
      </c>
      <c r="K140" s="47">
        <v>2.0</v>
      </c>
      <c r="L140" s="47">
        <v>5.0</v>
      </c>
      <c r="M140" s="47">
        <v>1.0</v>
      </c>
      <c r="N140" s="47">
        <v>3.0</v>
      </c>
      <c r="O140" s="47">
        <v>4.0</v>
      </c>
      <c r="P140" s="37"/>
      <c r="Q140" s="42">
        <f t="shared" si="49"/>
        <v>2</v>
      </c>
      <c r="R140" s="42">
        <f t="shared" si="50"/>
        <v>3</v>
      </c>
      <c r="S140" s="42">
        <f t="shared" si="51"/>
        <v>4</v>
      </c>
      <c r="T140" s="42">
        <f t="shared" si="52"/>
        <v>2</v>
      </c>
      <c r="U140" s="42">
        <f t="shared" si="53"/>
        <v>3</v>
      </c>
      <c r="V140" s="42">
        <f t="shared" si="54"/>
        <v>3</v>
      </c>
      <c r="W140" s="42">
        <f t="shared" si="55"/>
        <v>4</v>
      </c>
      <c r="X140" s="42">
        <f t="shared" si="56"/>
        <v>4</v>
      </c>
      <c r="Y140" s="42">
        <f t="shared" si="57"/>
        <v>2</v>
      </c>
      <c r="Z140" s="42">
        <f t="shared" si="58"/>
        <v>1</v>
      </c>
      <c r="AA140" s="52">
        <f t="shared" si="59"/>
        <v>28</v>
      </c>
      <c r="AB140" s="53">
        <f t="shared" si="60"/>
        <v>70</v>
      </c>
    </row>
    <row r="141" ht="15.75" customHeight="1">
      <c r="B141" s="43">
        <v>17.0</v>
      </c>
      <c r="C141" s="57" t="s">
        <v>217</v>
      </c>
      <c r="D141" s="43">
        <v>16.0</v>
      </c>
      <c r="E141" s="43" t="s">
        <v>200</v>
      </c>
      <c r="F141" s="47">
        <v>4.0</v>
      </c>
      <c r="G141" s="47">
        <v>3.0</v>
      </c>
      <c r="H141" s="47">
        <v>3.0</v>
      </c>
      <c r="I141" s="47">
        <v>4.0</v>
      </c>
      <c r="J141" s="47">
        <v>1.0</v>
      </c>
      <c r="K141" s="47">
        <v>3.0</v>
      </c>
      <c r="L141" s="47">
        <v>3.0</v>
      </c>
      <c r="M141" s="47">
        <v>4.0</v>
      </c>
      <c r="N141" s="47">
        <v>2.0</v>
      </c>
      <c r="O141" s="47">
        <v>2.0</v>
      </c>
      <c r="P141" s="37"/>
      <c r="Q141" s="42">
        <f t="shared" si="49"/>
        <v>3</v>
      </c>
      <c r="R141" s="42">
        <f t="shared" si="50"/>
        <v>2</v>
      </c>
      <c r="S141" s="42">
        <f t="shared" si="51"/>
        <v>2</v>
      </c>
      <c r="T141" s="42">
        <f t="shared" si="52"/>
        <v>1</v>
      </c>
      <c r="U141" s="42">
        <f t="shared" si="53"/>
        <v>0</v>
      </c>
      <c r="V141" s="42">
        <f t="shared" si="54"/>
        <v>2</v>
      </c>
      <c r="W141" s="42">
        <f t="shared" si="55"/>
        <v>2</v>
      </c>
      <c r="X141" s="42">
        <f t="shared" si="56"/>
        <v>1</v>
      </c>
      <c r="Y141" s="42">
        <f t="shared" si="57"/>
        <v>1</v>
      </c>
      <c r="Z141" s="42">
        <f t="shared" si="58"/>
        <v>3</v>
      </c>
      <c r="AA141" s="52">
        <f t="shared" si="59"/>
        <v>17</v>
      </c>
      <c r="AB141" s="53">
        <f t="shared" si="60"/>
        <v>42.5</v>
      </c>
    </row>
    <row r="142" ht="15.75" customHeight="1">
      <c r="B142" s="43">
        <v>18.0</v>
      </c>
      <c r="C142" s="57" t="s">
        <v>218</v>
      </c>
      <c r="D142" s="43">
        <v>33.0</v>
      </c>
      <c r="E142" s="43" t="s">
        <v>202</v>
      </c>
      <c r="F142" s="47">
        <v>1.0</v>
      </c>
      <c r="G142" s="47">
        <v>1.0</v>
      </c>
      <c r="H142" s="47">
        <v>5.0</v>
      </c>
      <c r="I142" s="47">
        <v>2.0</v>
      </c>
      <c r="J142" s="47">
        <v>3.0</v>
      </c>
      <c r="K142" s="47">
        <v>4.0</v>
      </c>
      <c r="L142" s="47">
        <v>1.0</v>
      </c>
      <c r="M142" s="47">
        <v>5.0</v>
      </c>
      <c r="N142" s="47">
        <v>4.0</v>
      </c>
      <c r="O142" s="47">
        <v>1.0</v>
      </c>
      <c r="P142" s="37"/>
      <c r="Q142" s="42">
        <f t="shared" si="49"/>
        <v>0</v>
      </c>
      <c r="R142" s="42">
        <f t="shared" si="50"/>
        <v>4</v>
      </c>
      <c r="S142" s="42">
        <f t="shared" si="51"/>
        <v>4</v>
      </c>
      <c r="T142" s="42">
        <f t="shared" si="52"/>
        <v>3</v>
      </c>
      <c r="U142" s="42">
        <f t="shared" si="53"/>
        <v>2</v>
      </c>
      <c r="V142" s="42">
        <f t="shared" si="54"/>
        <v>1</v>
      </c>
      <c r="W142" s="42">
        <f t="shared" si="55"/>
        <v>0</v>
      </c>
      <c r="X142" s="42">
        <f t="shared" si="56"/>
        <v>0</v>
      </c>
      <c r="Y142" s="42">
        <f t="shared" si="57"/>
        <v>3</v>
      </c>
      <c r="Z142" s="42">
        <f t="shared" si="58"/>
        <v>4</v>
      </c>
      <c r="AA142" s="52">
        <f t="shared" si="59"/>
        <v>21</v>
      </c>
      <c r="AB142" s="53">
        <f t="shared" si="60"/>
        <v>52.5</v>
      </c>
    </row>
    <row r="143" ht="15.75" customHeight="1">
      <c r="B143" s="43">
        <v>19.0</v>
      </c>
      <c r="C143" s="57" t="s">
        <v>219</v>
      </c>
      <c r="D143" s="43">
        <v>18.0</v>
      </c>
      <c r="E143" s="43" t="s">
        <v>200</v>
      </c>
      <c r="F143" s="47">
        <v>2.0</v>
      </c>
      <c r="G143" s="47">
        <v>2.0</v>
      </c>
      <c r="H143" s="47">
        <v>1.0</v>
      </c>
      <c r="I143" s="47">
        <v>1.0</v>
      </c>
      <c r="J143" s="47">
        <v>5.0</v>
      </c>
      <c r="K143" s="47">
        <v>3.0</v>
      </c>
      <c r="L143" s="47">
        <v>4.0</v>
      </c>
      <c r="M143" s="47">
        <v>3.0</v>
      </c>
      <c r="N143" s="47">
        <v>2.0</v>
      </c>
      <c r="O143" s="47">
        <v>3.0</v>
      </c>
      <c r="P143" s="37"/>
      <c r="Q143" s="42">
        <f t="shared" si="49"/>
        <v>1</v>
      </c>
      <c r="R143" s="42">
        <f t="shared" si="50"/>
        <v>3</v>
      </c>
      <c r="S143" s="42">
        <f t="shared" si="51"/>
        <v>0</v>
      </c>
      <c r="T143" s="42">
        <f t="shared" si="52"/>
        <v>4</v>
      </c>
      <c r="U143" s="42">
        <f t="shared" si="53"/>
        <v>4</v>
      </c>
      <c r="V143" s="42">
        <f t="shared" si="54"/>
        <v>2</v>
      </c>
      <c r="W143" s="42">
        <f t="shared" si="55"/>
        <v>3</v>
      </c>
      <c r="X143" s="42">
        <f t="shared" si="56"/>
        <v>2</v>
      </c>
      <c r="Y143" s="42">
        <f t="shared" si="57"/>
        <v>1</v>
      </c>
      <c r="Z143" s="42">
        <f t="shared" si="58"/>
        <v>2</v>
      </c>
      <c r="AA143" s="52">
        <f t="shared" si="59"/>
        <v>22</v>
      </c>
      <c r="AB143" s="53">
        <f t="shared" si="60"/>
        <v>55</v>
      </c>
    </row>
    <row r="144" ht="15.75" customHeight="1">
      <c r="B144" s="43">
        <v>20.0</v>
      </c>
      <c r="C144" s="57" t="s">
        <v>220</v>
      </c>
      <c r="D144" s="43">
        <v>32.0</v>
      </c>
      <c r="E144" s="43" t="s">
        <v>200</v>
      </c>
      <c r="F144" s="47">
        <v>3.0</v>
      </c>
      <c r="G144" s="47">
        <v>5.0</v>
      </c>
      <c r="H144" s="47">
        <v>2.0</v>
      </c>
      <c r="I144" s="47">
        <v>4.0</v>
      </c>
      <c r="J144" s="47">
        <v>1.0</v>
      </c>
      <c r="K144" s="47">
        <v>2.0</v>
      </c>
      <c r="L144" s="47">
        <v>2.0</v>
      </c>
      <c r="M144" s="47">
        <v>4.0</v>
      </c>
      <c r="N144" s="47">
        <v>3.0</v>
      </c>
      <c r="O144" s="47">
        <v>2.0</v>
      </c>
      <c r="P144" s="37"/>
      <c r="Q144" s="42">
        <f t="shared" si="49"/>
        <v>2</v>
      </c>
      <c r="R144" s="42">
        <f t="shared" si="50"/>
        <v>0</v>
      </c>
      <c r="S144" s="42">
        <f t="shared" si="51"/>
        <v>1</v>
      </c>
      <c r="T144" s="42">
        <f t="shared" si="52"/>
        <v>1</v>
      </c>
      <c r="U144" s="42">
        <f t="shared" si="53"/>
        <v>0</v>
      </c>
      <c r="V144" s="42">
        <f t="shared" si="54"/>
        <v>3</v>
      </c>
      <c r="W144" s="42">
        <f t="shared" si="55"/>
        <v>1</v>
      </c>
      <c r="X144" s="42">
        <f t="shared" si="56"/>
        <v>1</v>
      </c>
      <c r="Y144" s="42">
        <f t="shared" si="57"/>
        <v>2</v>
      </c>
      <c r="Z144" s="42">
        <f t="shared" si="58"/>
        <v>3</v>
      </c>
      <c r="AA144" s="52">
        <f t="shared" si="59"/>
        <v>14</v>
      </c>
      <c r="AB144" s="53">
        <f t="shared" si="60"/>
        <v>35</v>
      </c>
    </row>
    <row r="145" ht="15.75" customHeight="1">
      <c r="B145" s="43">
        <v>21.0</v>
      </c>
      <c r="C145" s="57" t="s">
        <v>221</v>
      </c>
      <c r="D145" s="43">
        <v>19.0</v>
      </c>
      <c r="E145" s="43" t="s">
        <v>200</v>
      </c>
      <c r="F145" s="47">
        <v>5.0</v>
      </c>
      <c r="G145" s="47">
        <v>4.0</v>
      </c>
      <c r="H145" s="47">
        <v>3.0</v>
      </c>
      <c r="I145" s="47">
        <v>2.0</v>
      </c>
      <c r="J145" s="47">
        <v>3.0</v>
      </c>
      <c r="K145" s="47">
        <v>4.0</v>
      </c>
      <c r="L145" s="47">
        <v>4.0</v>
      </c>
      <c r="M145" s="47">
        <v>5.0</v>
      </c>
      <c r="N145" s="47">
        <v>4.0</v>
      </c>
      <c r="O145" s="47">
        <v>4.0</v>
      </c>
      <c r="P145" s="37"/>
      <c r="Q145" s="42">
        <f t="shared" si="49"/>
        <v>4</v>
      </c>
      <c r="R145" s="42">
        <f t="shared" si="50"/>
        <v>1</v>
      </c>
      <c r="S145" s="42">
        <f t="shared" si="51"/>
        <v>2</v>
      </c>
      <c r="T145" s="42">
        <f t="shared" si="52"/>
        <v>3</v>
      </c>
      <c r="U145" s="42">
        <f t="shared" si="53"/>
        <v>2</v>
      </c>
      <c r="V145" s="42">
        <f t="shared" si="54"/>
        <v>1</v>
      </c>
      <c r="W145" s="42">
        <f t="shared" si="55"/>
        <v>3</v>
      </c>
      <c r="X145" s="42">
        <f t="shared" si="56"/>
        <v>0</v>
      </c>
      <c r="Y145" s="42">
        <f t="shared" si="57"/>
        <v>3</v>
      </c>
      <c r="Z145" s="42">
        <f t="shared" si="58"/>
        <v>1</v>
      </c>
      <c r="AA145" s="52">
        <f t="shared" si="59"/>
        <v>20</v>
      </c>
      <c r="AB145" s="53">
        <f t="shared" si="60"/>
        <v>50</v>
      </c>
    </row>
    <row r="146" ht="15.75" customHeight="1">
      <c r="B146" s="43">
        <v>22.0</v>
      </c>
      <c r="C146" s="57" t="s">
        <v>222</v>
      </c>
      <c r="D146" s="43">
        <v>22.0</v>
      </c>
      <c r="E146" s="43" t="s">
        <v>202</v>
      </c>
      <c r="F146" s="47">
        <v>3.0</v>
      </c>
      <c r="G146" s="47">
        <v>2.0</v>
      </c>
      <c r="H146" s="47">
        <v>3.0</v>
      </c>
      <c r="I146" s="47">
        <v>2.0</v>
      </c>
      <c r="J146" s="47">
        <v>4.0</v>
      </c>
      <c r="K146" s="47">
        <v>2.0</v>
      </c>
      <c r="L146" s="47">
        <v>3.0</v>
      </c>
      <c r="M146" s="47">
        <v>2.0</v>
      </c>
      <c r="N146" s="47">
        <v>3.0</v>
      </c>
      <c r="O146" s="47">
        <v>2.0</v>
      </c>
      <c r="P146" s="37"/>
      <c r="Q146" s="42">
        <f t="shared" si="49"/>
        <v>2</v>
      </c>
      <c r="R146" s="42">
        <f t="shared" si="50"/>
        <v>3</v>
      </c>
      <c r="S146" s="42">
        <f t="shared" si="51"/>
        <v>2</v>
      </c>
      <c r="T146" s="42">
        <f t="shared" si="52"/>
        <v>3</v>
      </c>
      <c r="U146" s="42">
        <f t="shared" si="53"/>
        <v>3</v>
      </c>
      <c r="V146" s="42">
        <f t="shared" si="54"/>
        <v>3</v>
      </c>
      <c r="W146" s="42">
        <f t="shared" si="55"/>
        <v>2</v>
      </c>
      <c r="X146" s="42">
        <f t="shared" si="56"/>
        <v>3</v>
      </c>
      <c r="Y146" s="42">
        <f t="shared" si="57"/>
        <v>2</v>
      </c>
      <c r="Z146" s="42">
        <f t="shared" si="58"/>
        <v>3</v>
      </c>
      <c r="AA146" s="52">
        <f t="shared" si="59"/>
        <v>26</v>
      </c>
      <c r="AB146" s="53">
        <f t="shared" si="60"/>
        <v>65</v>
      </c>
    </row>
    <row r="147" ht="15.75" customHeight="1">
      <c r="B147" s="43">
        <v>23.0</v>
      </c>
      <c r="C147" s="57" t="s">
        <v>223</v>
      </c>
      <c r="D147" s="43">
        <v>35.0</v>
      </c>
      <c r="E147" s="43" t="s">
        <v>200</v>
      </c>
      <c r="F147" s="47">
        <v>2.0</v>
      </c>
      <c r="G147" s="47">
        <v>1.0</v>
      </c>
      <c r="H147" s="47">
        <v>5.0</v>
      </c>
      <c r="I147" s="47">
        <v>3.0</v>
      </c>
      <c r="J147" s="47">
        <v>1.0</v>
      </c>
      <c r="K147" s="47">
        <v>4.0</v>
      </c>
      <c r="L147" s="47">
        <v>3.0</v>
      </c>
      <c r="M147" s="47">
        <v>2.0</v>
      </c>
      <c r="N147" s="47">
        <v>4.0</v>
      </c>
      <c r="O147" s="47">
        <v>2.0</v>
      </c>
      <c r="P147" s="37"/>
      <c r="Q147" s="42">
        <f t="shared" si="49"/>
        <v>1</v>
      </c>
      <c r="R147" s="42">
        <f t="shared" si="50"/>
        <v>4</v>
      </c>
      <c r="S147" s="42">
        <f t="shared" si="51"/>
        <v>4</v>
      </c>
      <c r="T147" s="42">
        <f t="shared" si="52"/>
        <v>2</v>
      </c>
      <c r="U147" s="42">
        <f t="shared" si="53"/>
        <v>0</v>
      </c>
      <c r="V147" s="42">
        <f t="shared" si="54"/>
        <v>1</v>
      </c>
      <c r="W147" s="42">
        <f t="shared" si="55"/>
        <v>2</v>
      </c>
      <c r="X147" s="42">
        <f t="shared" si="56"/>
        <v>3</v>
      </c>
      <c r="Y147" s="42">
        <f t="shared" si="57"/>
        <v>3</v>
      </c>
      <c r="Z147" s="42">
        <f t="shared" si="58"/>
        <v>3</v>
      </c>
      <c r="AA147" s="52">
        <f t="shared" si="59"/>
        <v>23</v>
      </c>
      <c r="AB147" s="53">
        <f t="shared" si="60"/>
        <v>57.5</v>
      </c>
    </row>
    <row r="148" ht="15.75" customHeight="1">
      <c r="B148" s="43">
        <v>24.0</v>
      </c>
      <c r="C148" s="57" t="s">
        <v>224</v>
      </c>
      <c r="D148" s="43">
        <v>15.0</v>
      </c>
      <c r="E148" s="43" t="s">
        <v>202</v>
      </c>
      <c r="F148" s="47">
        <v>5.0</v>
      </c>
      <c r="G148" s="47">
        <v>4.0</v>
      </c>
      <c r="H148" s="47">
        <v>5.0</v>
      </c>
      <c r="I148" s="47">
        <v>4.0</v>
      </c>
      <c r="J148" s="47">
        <v>5.0</v>
      </c>
      <c r="K148" s="47">
        <v>4.0</v>
      </c>
      <c r="L148" s="47">
        <v>5.0</v>
      </c>
      <c r="M148" s="47">
        <v>4.0</v>
      </c>
      <c r="N148" s="47">
        <v>5.0</v>
      </c>
      <c r="O148" s="47">
        <v>5.0</v>
      </c>
      <c r="P148" s="37"/>
      <c r="Q148" s="42">
        <f t="shared" si="49"/>
        <v>4</v>
      </c>
      <c r="R148" s="42">
        <f t="shared" si="50"/>
        <v>1</v>
      </c>
      <c r="S148" s="42">
        <f t="shared" si="51"/>
        <v>4</v>
      </c>
      <c r="T148" s="42">
        <f t="shared" si="52"/>
        <v>1</v>
      </c>
      <c r="U148" s="42">
        <f t="shared" si="53"/>
        <v>4</v>
      </c>
      <c r="V148" s="42">
        <f t="shared" si="54"/>
        <v>1</v>
      </c>
      <c r="W148" s="42">
        <f t="shared" si="55"/>
        <v>4</v>
      </c>
      <c r="X148" s="42">
        <f t="shared" si="56"/>
        <v>1</v>
      </c>
      <c r="Y148" s="42">
        <f t="shared" si="57"/>
        <v>4</v>
      </c>
      <c r="Z148" s="42">
        <f t="shared" si="58"/>
        <v>0</v>
      </c>
      <c r="AA148" s="52">
        <f t="shared" si="59"/>
        <v>24</v>
      </c>
      <c r="AB148" s="53">
        <f t="shared" si="60"/>
        <v>60</v>
      </c>
    </row>
    <row r="149" ht="15.75" customHeight="1">
      <c r="B149" s="43">
        <v>25.0</v>
      </c>
      <c r="C149" s="57" t="s">
        <v>225</v>
      </c>
      <c r="D149" s="43">
        <v>22.0</v>
      </c>
      <c r="E149" s="43" t="s">
        <v>200</v>
      </c>
      <c r="F149" s="47">
        <v>2.0</v>
      </c>
      <c r="G149" s="47">
        <v>5.0</v>
      </c>
      <c r="H149" s="47">
        <v>1.0</v>
      </c>
      <c r="I149" s="47">
        <v>3.0</v>
      </c>
      <c r="J149" s="47">
        <v>4.0</v>
      </c>
      <c r="K149" s="47">
        <v>1.0</v>
      </c>
      <c r="L149" s="47">
        <v>5.0</v>
      </c>
      <c r="M149" s="47">
        <v>1.0</v>
      </c>
      <c r="N149" s="47">
        <v>5.0</v>
      </c>
      <c r="O149" s="47">
        <v>2.0</v>
      </c>
      <c r="P149" s="37"/>
      <c r="Q149" s="42">
        <f t="shared" si="49"/>
        <v>1</v>
      </c>
      <c r="R149" s="42">
        <f t="shared" si="50"/>
        <v>0</v>
      </c>
      <c r="S149" s="42">
        <f t="shared" si="51"/>
        <v>0</v>
      </c>
      <c r="T149" s="42">
        <f t="shared" si="52"/>
        <v>2</v>
      </c>
      <c r="U149" s="42">
        <f t="shared" si="53"/>
        <v>3</v>
      </c>
      <c r="V149" s="42">
        <f t="shared" si="54"/>
        <v>4</v>
      </c>
      <c r="W149" s="42">
        <f t="shared" si="55"/>
        <v>4</v>
      </c>
      <c r="X149" s="42">
        <f t="shared" si="56"/>
        <v>4</v>
      </c>
      <c r="Y149" s="42">
        <f t="shared" si="57"/>
        <v>4</v>
      </c>
      <c r="Z149" s="42">
        <f t="shared" si="58"/>
        <v>3</v>
      </c>
      <c r="AA149" s="52">
        <f t="shared" si="59"/>
        <v>25</v>
      </c>
      <c r="AB149" s="53">
        <f t="shared" si="60"/>
        <v>62.5</v>
      </c>
    </row>
    <row r="150" ht="15.75" customHeight="1">
      <c r="B150" s="54"/>
      <c r="C150" s="41" t="s">
        <v>226</v>
      </c>
      <c r="D150" s="55">
        <f>AVERAGE(D125:D149)</f>
        <v>23.8</v>
      </c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37"/>
      <c r="Q150" s="38" t="s">
        <v>227</v>
      </c>
      <c r="R150" s="35"/>
      <c r="S150" s="35"/>
      <c r="T150" s="35"/>
      <c r="U150" s="35"/>
      <c r="V150" s="35"/>
      <c r="W150" s="35"/>
      <c r="X150" s="35"/>
      <c r="Y150" s="35"/>
      <c r="Z150" s="35"/>
      <c r="AA150" s="36"/>
      <c r="AB150" s="56">
        <f>AVERAGE(AB125:AB149)</f>
        <v>52.5</v>
      </c>
    </row>
    <row r="151" ht="15.75" customHeight="1"/>
    <row r="152" ht="27.0" customHeight="1">
      <c r="A152" s="32" t="s">
        <v>232</v>
      </c>
    </row>
    <row r="153" ht="15.75" customHeight="1">
      <c r="B153" s="33" t="s">
        <v>181</v>
      </c>
      <c r="C153" s="33" t="s">
        <v>182</v>
      </c>
      <c r="D153" s="33" t="s">
        <v>183</v>
      </c>
      <c r="E153" s="33" t="s">
        <v>184</v>
      </c>
      <c r="F153" s="34" t="s">
        <v>185</v>
      </c>
      <c r="G153" s="35"/>
      <c r="H153" s="35"/>
      <c r="I153" s="35"/>
      <c r="J153" s="35"/>
      <c r="K153" s="35"/>
      <c r="L153" s="35"/>
      <c r="M153" s="35"/>
      <c r="N153" s="35"/>
      <c r="O153" s="36"/>
      <c r="P153" s="37"/>
      <c r="Q153" s="38" t="s">
        <v>186</v>
      </c>
      <c r="R153" s="35"/>
      <c r="S153" s="35"/>
      <c r="T153" s="35"/>
      <c r="U153" s="35"/>
      <c r="V153" s="35"/>
      <c r="W153" s="35"/>
      <c r="X153" s="35"/>
      <c r="Y153" s="35"/>
      <c r="Z153" s="36"/>
      <c r="AA153" s="33" t="s">
        <v>187</v>
      </c>
      <c r="AB153" s="39" t="s">
        <v>188</v>
      </c>
    </row>
    <row r="154" ht="15.75" customHeight="1">
      <c r="B154" s="40"/>
      <c r="C154" s="40"/>
      <c r="D154" s="40"/>
      <c r="E154" s="40"/>
      <c r="F154" s="41" t="s">
        <v>189</v>
      </c>
      <c r="G154" s="41" t="s">
        <v>190</v>
      </c>
      <c r="H154" s="41" t="s">
        <v>191</v>
      </c>
      <c r="I154" s="41" t="s">
        <v>192</v>
      </c>
      <c r="J154" s="41" t="s">
        <v>193</v>
      </c>
      <c r="K154" s="41" t="s">
        <v>194</v>
      </c>
      <c r="L154" s="41" t="s">
        <v>195</v>
      </c>
      <c r="M154" s="41" t="s">
        <v>196</v>
      </c>
      <c r="N154" s="41" t="s">
        <v>197</v>
      </c>
      <c r="O154" s="41" t="s">
        <v>198</v>
      </c>
      <c r="P154" s="37"/>
      <c r="Q154" s="42" t="s">
        <v>189</v>
      </c>
      <c r="R154" s="42" t="s">
        <v>190</v>
      </c>
      <c r="S154" s="42" t="s">
        <v>191</v>
      </c>
      <c r="T154" s="42" t="s">
        <v>192</v>
      </c>
      <c r="U154" s="42" t="s">
        <v>193</v>
      </c>
      <c r="V154" s="42" t="s">
        <v>194</v>
      </c>
      <c r="W154" s="42" t="s">
        <v>195</v>
      </c>
      <c r="X154" s="42" t="s">
        <v>196</v>
      </c>
      <c r="Y154" s="42" t="s">
        <v>197</v>
      </c>
      <c r="Z154" s="42" t="s">
        <v>198</v>
      </c>
      <c r="AA154" s="40"/>
      <c r="AB154" s="40"/>
    </row>
    <row r="155" ht="15.75" customHeight="1">
      <c r="B155" s="43">
        <v>1.0</v>
      </c>
      <c r="C155" s="57" t="s">
        <v>199</v>
      </c>
      <c r="D155" s="43">
        <v>19.0</v>
      </c>
      <c r="E155" s="43" t="s">
        <v>202</v>
      </c>
      <c r="F155" s="47">
        <v>5.0</v>
      </c>
      <c r="G155" s="47">
        <v>3.0</v>
      </c>
      <c r="H155" s="47">
        <v>4.0</v>
      </c>
      <c r="I155" s="47">
        <v>5.0</v>
      </c>
      <c r="J155" s="47">
        <v>4.0</v>
      </c>
      <c r="K155" s="47">
        <v>4.0</v>
      </c>
      <c r="L155" s="47">
        <v>5.0</v>
      </c>
      <c r="M155" s="47">
        <v>4.0</v>
      </c>
      <c r="N155" s="47">
        <v>5.0</v>
      </c>
      <c r="O155" s="47">
        <v>4.0</v>
      </c>
      <c r="P155" s="37"/>
      <c r="Q155" s="51">
        <f t="shared" ref="Q155:Q179" si="61">F155-1</f>
        <v>4</v>
      </c>
      <c r="R155" s="51">
        <f t="shared" ref="R155:R179" si="62">5-G155</f>
        <v>2</v>
      </c>
      <c r="S155" s="51">
        <f t="shared" ref="S155:S179" si="63">H155-1</f>
        <v>3</v>
      </c>
      <c r="T155" s="51">
        <f t="shared" ref="T155:T179" si="64">5-I155</f>
        <v>0</v>
      </c>
      <c r="U155" s="51">
        <f t="shared" ref="U155:U179" si="65">J155-1</f>
        <v>3</v>
      </c>
      <c r="V155" s="51">
        <f t="shared" ref="V155:V179" si="66">5-K155</f>
        <v>1</v>
      </c>
      <c r="W155" s="51">
        <f t="shared" ref="W155:W179" si="67">L155-1</f>
        <v>4</v>
      </c>
      <c r="X155" s="51">
        <f t="shared" ref="X155:X179" si="68">5-M155</f>
        <v>1</v>
      </c>
      <c r="Y155" s="51">
        <f t="shared" ref="Y155:Y179" si="69">N155-1</f>
        <v>4</v>
      </c>
      <c r="Z155" s="51">
        <f t="shared" ref="Z155:Z179" si="70">5-O155</f>
        <v>1</v>
      </c>
      <c r="AA155" s="52">
        <f t="shared" ref="AA155:AA179" si="71">SUM(Q155:Z155)</f>
        <v>23</v>
      </c>
      <c r="AB155" s="53">
        <f t="shared" ref="AB155:AB179" si="72">AA155*2.5</f>
        <v>57.5</v>
      </c>
    </row>
    <row r="156" ht="15.75" customHeight="1">
      <c r="B156" s="43">
        <v>2.0</v>
      </c>
      <c r="C156" s="57" t="s">
        <v>201</v>
      </c>
      <c r="D156" s="43">
        <v>19.0</v>
      </c>
      <c r="E156" s="43" t="s">
        <v>202</v>
      </c>
      <c r="F156" s="47">
        <v>1.0</v>
      </c>
      <c r="G156" s="47">
        <v>2.0</v>
      </c>
      <c r="H156" s="47">
        <v>4.0</v>
      </c>
      <c r="I156" s="47">
        <v>1.0</v>
      </c>
      <c r="J156" s="47">
        <v>3.0</v>
      </c>
      <c r="K156" s="47">
        <v>2.0</v>
      </c>
      <c r="L156" s="47">
        <v>4.0</v>
      </c>
      <c r="M156" s="47">
        <v>1.0</v>
      </c>
      <c r="N156" s="47">
        <v>5.0</v>
      </c>
      <c r="O156" s="47">
        <v>5.0</v>
      </c>
      <c r="P156" s="37"/>
      <c r="Q156" s="42">
        <f t="shared" si="61"/>
        <v>0</v>
      </c>
      <c r="R156" s="42">
        <f t="shared" si="62"/>
        <v>3</v>
      </c>
      <c r="S156" s="42">
        <f t="shared" si="63"/>
        <v>3</v>
      </c>
      <c r="T156" s="42">
        <f t="shared" si="64"/>
        <v>4</v>
      </c>
      <c r="U156" s="42">
        <f t="shared" si="65"/>
        <v>2</v>
      </c>
      <c r="V156" s="42">
        <f t="shared" si="66"/>
        <v>3</v>
      </c>
      <c r="W156" s="42">
        <f t="shared" si="67"/>
        <v>3</v>
      </c>
      <c r="X156" s="42">
        <f t="shared" si="68"/>
        <v>4</v>
      </c>
      <c r="Y156" s="42">
        <f t="shared" si="69"/>
        <v>4</v>
      </c>
      <c r="Z156" s="42">
        <f t="shared" si="70"/>
        <v>0</v>
      </c>
      <c r="AA156" s="52">
        <f t="shared" si="71"/>
        <v>26</v>
      </c>
      <c r="AB156" s="53">
        <f t="shared" si="72"/>
        <v>65</v>
      </c>
    </row>
    <row r="157" ht="15.75" customHeight="1">
      <c r="B157" s="43">
        <v>3.0</v>
      </c>
      <c r="C157" s="57" t="s">
        <v>203</v>
      </c>
      <c r="D157" s="43">
        <v>19.0</v>
      </c>
      <c r="E157" s="43" t="s">
        <v>202</v>
      </c>
      <c r="F157" s="47">
        <v>2.0</v>
      </c>
      <c r="G157" s="47">
        <v>5.0</v>
      </c>
      <c r="H157" s="47">
        <v>3.0</v>
      </c>
      <c r="I157" s="47">
        <v>3.0</v>
      </c>
      <c r="J157" s="47">
        <v>4.0</v>
      </c>
      <c r="K157" s="47">
        <v>1.0</v>
      </c>
      <c r="L157" s="47">
        <v>4.0</v>
      </c>
      <c r="M157" s="47">
        <v>1.0</v>
      </c>
      <c r="N157" s="47">
        <v>5.0</v>
      </c>
      <c r="O157" s="47">
        <v>2.0</v>
      </c>
      <c r="P157" s="37"/>
      <c r="Q157" s="42">
        <f t="shared" si="61"/>
        <v>1</v>
      </c>
      <c r="R157" s="42">
        <f t="shared" si="62"/>
        <v>0</v>
      </c>
      <c r="S157" s="42">
        <f t="shared" si="63"/>
        <v>2</v>
      </c>
      <c r="T157" s="42">
        <f t="shared" si="64"/>
        <v>2</v>
      </c>
      <c r="U157" s="42">
        <f t="shared" si="65"/>
        <v>3</v>
      </c>
      <c r="V157" s="42">
        <f t="shared" si="66"/>
        <v>4</v>
      </c>
      <c r="W157" s="42">
        <f t="shared" si="67"/>
        <v>3</v>
      </c>
      <c r="X157" s="42">
        <f t="shared" si="68"/>
        <v>4</v>
      </c>
      <c r="Y157" s="42">
        <f t="shared" si="69"/>
        <v>4</v>
      </c>
      <c r="Z157" s="42">
        <f t="shared" si="70"/>
        <v>3</v>
      </c>
      <c r="AA157" s="52">
        <f t="shared" si="71"/>
        <v>26</v>
      </c>
      <c r="AB157" s="53">
        <f t="shared" si="72"/>
        <v>65</v>
      </c>
    </row>
    <row r="158" ht="15.75" customHeight="1">
      <c r="B158" s="43">
        <v>4.0</v>
      </c>
      <c r="C158" s="57" t="s">
        <v>204</v>
      </c>
      <c r="D158" s="43">
        <v>18.0</v>
      </c>
      <c r="E158" s="43" t="s">
        <v>200</v>
      </c>
      <c r="F158" s="47">
        <v>2.0</v>
      </c>
      <c r="G158" s="47">
        <v>3.0</v>
      </c>
      <c r="H158" s="47">
        <v>4.0</v>
      </c>
      <c r="I158" s="47">
        <v>3.0</v>
      </c>
      <c r="J158" s="47">
        <v>4.0</v>
      </c>
      <c r="K158" s="47">
        <v>3.0</v>
      </c>
      <c r="L158" s="47">
        <v>3.0</v>
      </c>
      <c r="M158" s="47">
        <v>4.0</v>
      </c>
      <c r="N158" s="47">
        <v>4.0</v>
      </c>
      <c r="O158" s="47">
        <v>4.0</v>
      </c>
      <c r="P158" s="37"/>
      <c r="Q158" s="42">
        <f t="shared" si="61"/>
        <v>1</v>
      </c>
      <c r="R158" s="42">
        <f t="shared" si="62"/>
        <v>2</v>
      </c>
      <c r="S158" s="42">
        <f t="shared" si="63"/>
        <v>3</v>
      </c>
      <c r="T158" s="42">
        <f t="shared" si="64"/>
        <v>2</v>
      </c>
      <c r="U158" s="42">
        <f t="shared" si="65"/>
        <v>3</v>
      </c>
      <c r="V158" s="42">
        <f t="shared" si="66"/>
        <v>2</v>
      </c>
      <c r="W158" s="42">
        <f t="shared" si="67"/>
        <v>2</v>
      </c>
      <c r="X158" s="42">
        <f t="shared" si="68"/>
        <v>1</v>
      </c>
      <c r="Y158" s="42">
        <f t="shared" si="69"/>
        <v>3</v>
      </c>
      <c r="Z158" s="42">
        <f t="shared" si="70"/>
        <v>1</v>
      </c>
      <c r="AA158" s="52">
        <f t="shared" si="71"/>
        <v>20</v>
      </c>
      <c r="AB158" s="53">
        <f t="shared" si="72"/>
        <v>50</v>
      </c>
    </row>
    <row r="159" ht="15.75" customHeight="1">
      <c r="B159" s="43">
        <v>5.0</v>
      </c>
      <c r="C159" s="57" t="s">
        <v>205</v>
      </c>
      <c r="D159" s="43">
        <v>18.0</v>
      </c>
      <c r="E159" s="43" t="s">
        <v>202</v>
      </c>
      <c r="F159" s="47">
        <v>4.0</v>
      </c>
      <c r="G159" s="47">
        <v>2.0</v>
      </c>
      <c r="H159" s="47">
        <v>3.0</v>
      </c>
      <c r="I159" s="47">
        <v>4.0</v>
      </c>
      <c r="J159" s="47">
        <v>4.0</v>
      </c>
      <c r="K159" s="47">
        <v>2.0</v>
      </c>
      <c r="L159" s="47">
        <v>3.0</v>
      </c>
      <c r="M159" s="47">
        <v>3.0</v>
      </c>
      <c r="N159" s="47">
        <v>4.0</v>
      </c>
      <c r="O159" s="47">
        <v>3.0</v>
      </c>
      <c r="P159" s="37"/>
      <c r="Q159" s="42">
        <f t="shared" si="61"/>
        <v>3</v>
      </c>
      <c r="R159" s="42">
        <f t="shared" si="62"/>
        <v>3</v>
      </c>
      <c r="S159" s="42">
        <f t="shared" si="63"/>
        <v>2</v>
      </c>
      <c r="T159" s="42">
        <f t="shared" si="64"/>
        <v>1</v>
      </c>
      <c r="U159" s="42">
        <f t="shared" si="65"/>
        <v>3</v>
      </c>
      <c r="V159" s="42">
        <f t="shared" si="66"/>
        <v>3</v>
      </c>
      <c r="W159" s="42">
        <f t="shared" si="67"/>
        <v>2</v>
      </c>
      <c r="X159" s="42">
        <f t="shared" si="68"/>
        <v>2</v>
      </c>
      <c r="Y159" s="42">
        <f t="shared" si="69"/>
        <v>3</v>
      </c>
      <c r="Z159" s="42">
        <f t="shared" si="70"/>
        <v>2</v>
      </c>
      <c r="AA159" s="52">
        <f t="shared" si="71"/>
        <v>24</v>
      </c>
      <c r="AB159" s="53">
        <f t="shared" si="72"/>
        <v>60</v>
      </c>
    </row>
    <row r="160" ht="15.75" customHeight="1">
      <c r="B160" s="43">
        <v>6.0</v>
      </c>
      <c r="C160" s="57" t="s">
        <v>206</v>
      </c>
      <c r="D160" s="43">
        <v>19.0</v>
      </c>
      <c r="E160" s="43" t="s">
        <v>202</v>
      </c>
      <c r="F160" s="47">
        <v>3.0</v>
      </c>
      <c r="G160" s="47">
        <v>3.0</v>
      </c>
      <c r="H160" s="47">
        <v>3.0</v>
      </c>
      <c r="I160" s="47">
        <v>2.0</v>
      </c>
      <c r="J160" s="47">
        <v>4.0</v>
      </c>
      <c r="K160" s="47">
        <v>3.0</v>
      </c>
      <c r="L160" s="47">
        <v>3.0</v>
      </c>
      <c r="M160" s="47">
        <v>3.0</v>
      </c>
      <c r="N160" s="47">
        <v>3.0</v>
      </c>
      <c r="O160" s="47">
        <v>2.0</v>
      </c>
      <c r="P160" s="37"/>
      <c r="Q160" s="42">
        <f t="shared" si="61"/>
        <v>2</v>
      </c>
      <c r="R160" s="42">
        <f t="shared" si="62"/>
        <v>2</v>
      </c>
      <c r="S160" s="42">
        <f t="shared" si="63"/>
        <v>2</v>
      </c>
      <c r="T160" s="42">
        <f t="shared" si="64"/>
        <v>3</v>
      </c>
      <c r="U160" s="42">
        <f t="shared" si="65"/>
        <v>3</v>
      </c>
      <c r="V160" s="42">
        <f t="shared" si="66"/>
        <v>2</v>
      </c>
      <c r="W160" s="42">
        <f t="shared" si="67"/>
        <v>2</v>
      </c>
      <c r="X160" s="42">
        <f t="shared" si="68"/>
        <v>2</v>
      </c>
      <c r="Y160" s="42">
        <f t="shared" si="69"/>
        <v>2</v>
      </c>
      <c r="Z160" s="42">
        <f t="shared" si="70"/>
        <v>3</v>
      </c>
      <c r="AA160" s="52">
        <f t="shared" si="71"/>
        <v>23</v>
      </c>
      <c r="AB160" s="53">
        <f t="shared" si="72"/>
        <v>57.5</v>
      </c>
    </row>
    <row r="161" ht="15.75" customHeight="1">
      <c r="B161" s="43">
        <v>7.0</v>
      </c>
      <c r="C161" s="57" t="s">
        <v>207</v>
      </c>
      <c r="D161" s="43">
        <v>19.0</v>
      </c>
      <c r="E161" s="43" t="s">
        <v>202</v>
      </c>
      <c r="F161" s="47">
        <v>2.0</v>
      </c>
      <c r="G161" s="47">
        <v>2.0</v>
      </c>
      <c r="H161" s="47">
        <v>2.0</v>
      </c>
      <c r="I161" s="47">
        <v>4.0</v>
      </c>
      <c r="J161" s="47">
        <v>2.0</v>
      </c>
      <c r="K161" s="47">
        <v>3.0</v>
      </c>
      <c r="L161" s="47">
        <v>2.0</v>
      </c>
      <c r="M161" s="47">
        <v>4.0</v>
      </c>
      <c r="N161" s="47">
        <v>5.0</v>
      </c>
      <c r="O161" s="47">
        <v>2.0</v>
      </c>
      <c r="P161" s="37"/>
      <c r="Q161" s="42">
        <f t="shared" si="61"/>
        <v>1</v>
      </c>
      <c r="R161" s="42">
        <f t="shared" si="62"/>
        <v>3</v>
      </c>
      <c r="S161" s="42">
        <f t="shared" si="63"/>
        <v>1</v>
      </c>
      <c r="T161" s="42">
        <f t="shared" si="64"/>
        <v>1</v>
      </c>
      <c r="U161" s="42">
        <f t="shared" si="65"/>
        <v>1</v>
      </c>
      <c r="V161" s="42">
        <f t="shared" si="66"/>
        <v>2</v>
      </c>
      <c r="W161" s="42">
        <f t="shared" si="67"/>
        <v>1</v>
      </c>
      <c r="X161" s="42">
        <f t="shared" si="68"/>
        <v>1</v>
      </c>
      <c r="Y161" s="42">
        <f t="shared" si="69"/>
        <v>4</v>
      </c>
      <c r="Z161" s="42">
        <f t="shared" si="70"/>
        <v>3</v>
      </c>
      <c r="AA161" s="52">
        <f t="shared" si="71"/>
        <v>18</v>
      </c>
      <c r="AB161" s="53">
        <f t="shared" si="72"/>
        <v>45</v>
      </c>
    </row>
    <row r="162" ht="15.75" customHeight="1">
      <c r="B162" s="43">
        <v>8.0</v>
      </c>
      <c r="C162" s="57" t="s">
        <v>208</v>
      </c>
      <c r="D162" s="43">
        <v>20.0</v>
      </c>
      <c r="E162" s="43" t="s">
        <v>202</v>
      </c>
      <c r="F162" s="47">
        <v>3.0</v>
      </c>
      <c r="G162" s="47">
        <v>2.0</v>
      </c>
      <c r="H162" s="47">
        <v>4.0</v>
      </c>
      <c r="I162" s="47">
        <v>2.0</v>
      </c>
      <c r="J162" s="47">
        <v>4.0</v>
      </c>
      <c r="K162" s="47">
        <v>2.0</v>
      </c>
      <c r="L162" s="47">
        <v>4.0</v>
      </c>
      <c r="M162" s="47">
        <v>5.0</v>
      </c>
      <c r="N162" s="47">
        <v>5.0</v>
      </c>
      <c r="O162" s="47">
        <v>4.0</v>
      </c>
      <c r="P162" s="37"/>
      <c r="Q162" s="42">
        <f t="shared" si="61"/>
        <v>2</v>
      </c>
      <c r="R162" s="42">
        <f t="shared" si="62"/>
        <v>3</v>
      </c>
      <c r="S162" s="42">
        <f t="shared" si="63"/>
        <v>3</v>
      </c>
      <c r="T162" s="42">
        <f t="shared" si="64"/>
        <v>3</v>
      </c>
      <c r="U162" s="42">
        <f t="shared" si="65"/>
        <v>3</v>
      </c>
      <c r="V162" s="42">
        <f t="shared" si="66"/>
        <v>3</v>
      </c>
      <c r="W162" s="42">
        <f t="shared" si="67"/>
        <v>3</v>
      </c>
      <c r="X162" s="42">
        <f t="shared" si="68"/>
        <v>0</v>
      </c>
      <c r="Y162" s="42">
        <f t="shared" si="69"/>
        <v>4</v>
      </c>
      <c r="Z162" s="42">
        <f t="shared" si="70"/>
        <v>1</v>
      </c>
      <c r="AA162" s="52">
        <f t="shared" si="71"/>
        <v>25</v>
      </c>
      <c r="AB162" s="53">
        <f t="shared" si="72"/>
        <v>62.5</v>
      </c>
    </row>
    <row r="163" ht="15.75" customHeight="1">
      <c r="B163" s="43">
        <v>9.0</v>
      </c>
      <c r="C163" s="57" t="s">
        <v>209</v>
      </c>
      <c r="D163" s="43">
        <v>20.0</v>
      </c>
      <c r="E163" s="43" t="s">
        <v>200</v>
      </c>
      <c r="F163" s="47">
        <v>4.0</v>
      </c>
      <c r="G163" s="47">
        <v>3.0</v>
      </c>
      <c r="H163" s="47">
        <v>5.0</v>
      </c>
      <c r="I163" s="47">
        <v>4.0</v>
      </c>
      <c r="J163" s="47">
        <v>4.0</v>
      </c>
      <c r="K163" s="47">
        <v>4.0</v>
      </c>
      <c r="L163" s="47">
        <v>5.0</v>
      </c>
      <c r="M163" s="47">
        <v>5.0</v>
      </c>
      <c r="N163" s="47">
        <v>3.0</v>
      </c>
      <c r="O163" s="47">
        <v>4.0</v>
      </c>
      <c r="P163" s="37"/>
      <c r="Q163" s="42">
        <f t="shared" si="61"/>
        <v>3</v>
      </c>
      <c r="R163" s="42">
        <f t="shared" si="62"/>
        <v>2</v>
      </c>
      <c r="S163" s="42">
        <f t="shared" si="63"/>
        <v>4</v>
      </c>
      <c r="T163" s="42">
        <f t="shared" si="64"/>
        <v>1</v>
      </c>
      <c r="U163" s="42">
        <f t="shared" si="65"/>
        <v>3</v>
      </c>
      <c r="V163" s="42">
        <f t="shared" si="66"/>
        <v>1</v>
      </c>
      <c r="W163" s="42">
        <f t="shared" si="67"/>
        <v>4</v>
      </c>
      <c r="X163" s="42">
        <f t="shared" si="68"/>
        <v>0</v>
      </c>
      <c r="Y163" s="42">
        <f t="shared" si="69"/>
        <v>2</v>
      </c>
      <c r="Z163" s="42">
        <f t="shared" si="70"/>
        <v>1</v>
      </c>
      <c r="AA163" s="52">
        <f t="shared" si="71"/>
        <v>21</v>
      </c>
      <c r="AB163" s="53">
        <f t="shared" si="72"/>
        <v>52.5</v>
      </c>
    </row>
    <row r="164" ht="15.75" customHeight="1">
      <c r="B164" s="43">
        <v>10.0</v>
      </c>
      <c r="C164" s="57" t="s">
        <v>210</v>
      </c>
      <c r="D164" s="43">
        <v>18.0</v>
      </c>
      <c r="E164" s="43" t="s">
        <v>200</v>
      </c>
      <c r="F164" s="47">
        <v>4.0</v>
      </c>
      <c r="G164" s="47">
        <v>3.0</v>
      </c>
      <c r="H164" s="47">
        <v>3.0</v>
      </c>
      <c r="I164" s="47">
        <v>3.0</v>
      </c>
      <c r="J164" s="47">
        <v>3.0</v>
      </c>
      <c r="K164" s="47">
        <v>2.0</v>
      </c>
      <c r="L164" s="47">
        <v>4.0</v>
      </c>
      <c r="M164" s="47">
        <v>2.0</v>
      </c>
      <c r="N164" s="47">
        <v>3.0</v>
      </c>
      <c r="O164" s="47">
        <v>2.0</v>
      </c>
      <c r="P164" s="37"/>
      <c r="Q164" s="42">
        <f t="shared" si="61"/>
        <v>3</v>
      </c>
      <c r="R164" s="42">
        <f t="shared" si="62"/>
        <v>2</v>
      </c>
      <c r="S164" s="42">
        <f t="shared" si="63"/>
        <v>2</v>
      </c>
      <c r="T164" s="42">
        <f t="shared" si="64"/>
        <v>2</v>
      </c>
      <c r="U164" s="42">
        <f t="shared" si="65"/>
        <v>2</v>
      </c>
      <c r="V164" s="42">
        <f t="shared" si="66"/>
        <v>3</v>
      </c>
      <c r="W164" s="42">
        <f t="shared" si="67"/>
        <v>3</v>
      </c>
      <c r="X164" s="42">
        <f t="shared" si="68"/>
        <v>3</v>
      </c>
      <c r="Y164" s="42">
        <f t="shared" si="69"/>
        <v>2</v>
      </c>
      <c r="Z164" s="42">
        <f t="shared" si="70"/>
        <v>3</v>
      </c>
      <c r="AA164" s="52">
        <f t="shared" si="71"/>
        <v>25</v>
      </c>
      <c r="AB164" s="53">
        <f t="shared" si="72"/>
        <v>62.5</v>
      </c>
    </row>
    <row r="165" ht="15.75" customHeight="1">
      <c r="B165" s="43">
        <v>11.0</v>
      </c>
      <c r="C165" s="57" t="s">
        <v>211</v>
      </c>
      <c r="D165" s="43">
        <v>25.0</v>
      </c>
      <c r="E165" s="43" t="s">
        <v>202</v>
      </c>
      <c r="F165" s="47">
        <v>2.0</v>
      </c>
      <c r="G165" s="47">
        <v>3.0</v>
      </c>
      <c r="H165" s="47">
        <v>4.0</v>
      </c>
      <c r="I165" s="47">
        <v>5.0</v>
      </c>
      <c r="J165" s="47">
        <v>1.0</v>
      </c>
      <c r="K165" s="47">
        <v>2.0</v>
      </c>
      <c r="L165" s="47">
        <v>3.0</v>
      </c>
      <c r="M165" s="47">
        <v>4.0</v>
      </c>
      <c r="N165" s="47">
        <v>2.0</v>
      </c>
      <c r="O165" s="47">
        <v>1.0</v>
      </c>
      <c r="P165" s="37"/>
      <c r="Q165" s="42">
        <f t="shared" si="61"/>
        <v>1</v>
      </c>
      <c r="R165" s="42">
        <f t="shared" si="62"/>
        <v>2</v>
      </c>
      <c r="S165" s="42">
        <f t="shared" si="63"/>
        <v>3</v>
      </c>
      <c r="T165" s="42">
        <f t="shared" si="64"/>
        <v>0</v>
      </c>
      <c r="U165" s="42">
        <f t="shared" si="65"/>
        <v>0</v>
      </c>
      <c r="V165" s="42">
        <f t="shared" si="66"/>
        <v>3</v>
      </c>
      <c r="W165" s="42">
        <f t="shared" si="67"/>
        <v>2</v>
      </c>
      <c r="X165" s="42">
        <f t="shared" si="68"/>
        <v>1</v>
      </c>
      <c r="Y165" s="42">
        <f t="shared" si="69"/>
        <v>1</v>
      </c>
      <c r="Z165" s="42">
        <f t="shared" si="70"/>
        <v>4</v>
      </c>
      <c r="AA165" s="52">
        <f t="shared" si="71"/>
        <v>17</v>
      </c>
      <c r="AB165" s="53">
        <f t="shared" si="72"/>
        <v>42.5</v>
      </c>
    </row>
    <row r="166" ht="15.75" customHeight="1">
      <c r="B166" s="43">
        <v>12.0</v>
      </c>
      <c r="C166" s="57" t="s">
        <v>212</v>
      </c>
      <c r="D166" s="43">
        <v>17.0</v>
      </c>
      <c r="E166" s="43" t="s">
        <v>202</v>
      </c>
      <c r="F166" s="47">
        <v>4.0</v>
      </c>
      <c r="G166" s="47">
        <v>5.0</v>
      </c>
      <c r="H166" s="47">
        <v>1.0</v>
      </c>
      <c r="I166" s="47">
        <v>2.0</v>
      </c>
      <c r="J166" s="47">
        <v>3.0</v>
      </c>
      <c r="K166" s="47">
        <v>3.0</v>
      </c>
      <c r="L166" s="47">
        <v>4.0</v>
      </c>
      <c r="M166" s="47">
        <v>1.0</v>
      </c>
      <c r="N166" s="47">
        <v>5.0</v>
      </c>
      <c r="O166" s="47">
        <v>2.0</v>
      </c>
      <c r="P166" s="37"/>
      <c r="Q166" s="42">
        <f t="shared" si="61"/>
        <v>3</v>
      </c>
      <c r="R166" s="42">
        <f t="shared" si="62"/>
        <v>0</v>
      </c>
      <c r="S166" s="42">
        <f t="shared" si="63"/>
        <v>0</v>
      </c>
      <c r="T166" s="42">
        <f t="shared" si="64"/>
        <v>3</v>
      </c>
      <c r="U166" s="42">
        <f t="shared" si="65"/>
        <v>2</v>
      </c>
      <c r="V166" s="42">
        <f t="shared" si="66"/>
        <v>2</v>
      </c>
      <c r="W166" s="42">
        <f t="shared" si="67"/>
        <v>3</v>
      </c>
      <c r="X166" s="42">
        <f t="shared" si="68"/>
        <v>4</v>
      </c>
      <c r="Y166" s="42">
        <f t="shared" si="69"/>
        <v>4</v>
      </c>
      <c r="Z166" s="42">
        <f t="shared" si="70"/>
        <v>3</v>
      </c>
      <c r="AA166" s="52">
        <f t="shared" si="71"/>
        <v>24</v>
      </c>
      <c r="AB166" s="53">
        <f t="shared" si="72"/>
        <v>60</v>
      </c>
    </row>
    <row r="167" ht="15.75" customHeight="1">
      <c r="B167" s="43">
        <v>13.0</v>
      </c>
      <c r="C167" s="57" t="s">
        <v>213</v>
      </c>
      <c r="D167" s="43">
        <v>34.0</v>
      </c>
      <c r="E167" s="43" t="s">
        <v>200</v>
      </c>
      <c r="F167" s="47">
        <v>3.0</v>
      </c>
      <c r="G167" s="47">
        <v>2.0</v>
      </c>
      <c r="H167" s="47">
        <v>2.0</v>
      </c>
      <c r="I167" s="47">
        <v>3.0</v>
      </c>
      <c r="J167" s="47">
        <v>5.0</v>
      </c>
      <c r="K167" s="47">
        <v>4.0</v>
      </c>
      <c r="L167" s="47">
        <v>1.0</v>
      </c>
      <c r="M167" s="47">
        <v>5.0</v>
      </c>
      <c r="N167" s="47">
        <v>3.0</v>
      </c>
      <c r="O167" s="47">
        <v>1.0</v>
      </c>
      <c r="P167" s="37"/>
      <c r="Q167" s="42">
        <f t="shared" si="61"/>
        <v>2</v>
      </c>
      <c r="R167" s="42">
        <f t="shared" si="62"/>
        <v>3</v>
      </c>
      <c r="S167" s="42">
        <f t="shared" si="63"/>
        <v>1</v>
      </c>
      <c r="T167" s="42">
        <f t="shared" si="64"/>
        <v>2</v>
      </c>
      <c r="U167" s="42">
        <f t="shared" si="65"/>
        <v>4</v>
      </c>
      <c r="V167" s="42">
        <f t="shared" si="66"/>
        <v>1</v>
      </c>
      <c r="W167" s="42">
        <f t="shared" si="67"/>
        <v>0</v>
      </c>
      <c r="X167" s="42">
        <f t="shared" si="68"/>
        <v>0</v>
      </c>
      <c r="Y167" s="42">
        <f t="shared" si="69"/>
        <v>2</v>
      </c>
      <c r="Z167" s="42">
        <f t="shared" si="70"/>
        <v>4</v>
      </c>
      <c r="AA167" s="52">
        <f t="shared" si="71"/>
        <v>19</v>
      </c>
      <c r="AB167" s="53">
        <f t="shared" si="72"/>
        <v>47.5</v>
      </c>
    </row>
    <row r="168" ht="15.75" customHeight="1">
      <c r="B168" s="43">
        <v>14.0</v>
      </c>
      <c r="C168" s="57" t="s">
        <v>214</v>
      </c>
      <c r="D168" s="43">
        <v>26.0</v>
      </c>
      <c r="E168" s="43" t="s">
        <v>202</v>
      </c>
      <c r="F168" s="47">
        <v>1.0</v>
      </c>
      <c r="G168" s="47">
        <v>1.0</v>
      </c>
      <c r="H168" s="47">
        <v>5.0</v>
      </c>
      <c r="I168" s="47">
        <v>4.0</v>
      </c>
      <c r="J168" s="47">
        <v>2.0</v>
      </c>
      <c r="K168" s="47">
        <v>2.0</v>
      </c>
      <c r="L168" s="47">
        <v>3.0</v>
      </c>
      <c r="M168" s="47">
        <v>3.0</v>
      </c>
      <c r="N168" s="47">
        <v>4.0</v>
      </c>
      <c r="O168" s="47">
        <v>5.0</v>
      </c>
      <c r="P168" s="37"/>
      <c r="Q168" s="42">
        <f t="shared" si="61"/>
        <v>0</v>
      </c>
      <c r="R168" s="42">
        <f t="shared" si="62"/>
        <v>4</v>
      </c>
      <c r="S168" s="42">
        <f t="shared" si="63"/>
        <v>4</v>
      </c>
      <c r="T168" s="42">
        <f t="shared" si="64"/>
        <v>1</v>
      </c>
      <c r="U168" s="42">
        <f t="shared" si="65"/>
        <v>1</v>
      </c>
      <c r="V168" s="42">
        <f t="shared" si="66"/>
        <v>3</v>
      </c>
      <c r="W168" s="42">
        <f t="shared" si="67"/>
        <v>2</v>
      </c>
      <c r="X168" s="42">
        <f t="shared" si="68"/>
        <v>2</v>
      </c>
      <c r="Y168" s="42">
        <f t="shared" si="69"/>
        <v>3</v>
      </c>
      <c r="Z168" s="42">
        <f t="shared" si="70"/>
        <v>0</v>
      </c>
      <c r="AA168" s="52">
        <f t="shared" si="71"/>
        <v>20</v>
      </c>
      <c r="AB168" s="53">
        <f t="shared" si="72"/>
        <v>50</v>
      </c>
    </row>
    <row r="169" ht="15.75" customHeight="1">
      <c r="B169" s="43">
        <v>15.0</v>
      </c>
      <c r="C169" s="57" t="s">
        <v>215</v>
      </c>
      <c r="D169" s="43">
        <v>23.0</v>
      </c>
      <c r="E169" s="43" t="s">
        <v>200</v>
      </c>
      <c r="F169" s="47">
        <v>5.0</v>
      </c>
      <c r="G169" s="47">
        <v>4.0</v>
      </c>
      <c r="H169" s="47">
        <v>4.0</v>
      </c>
      <c r="I169" s="47">
        <v>2.0</v>
      </c>
      <c r="J169" s="47">
        <v>3.0</v>
      </c>
      <c r="K169" s="47">
        <v>5.0</v>
      </c>
      <c r="L169" s="47">
        <v>5.0</v>
      </c>
      <c r="M169" s="47">
        <v>2.0</v>
      </c>
      <c r="N169" s="47">
        <v>1.0</v>
      </c>
      <c r="O169" s="47">
        <v>3.0</v>
      </c>
      <c r="P169" s="37"/>
      <c r="Q169" s="42">
        <f t="shared" si="61"/>
        <v>4</v>
      </c>
      <c r="R169" s="42">
        <f t="shared" si="62"/>
        <v>1</v>
      </c>
      <c r="S169" s="42">
        <f t="shared" si="63"/>
        <v>3</v>
      </c>
      <c r="T169" s="42">
        <f t="shared" si="64"/>
        <v>3</v>
      </c>
      <c r="U169" s="42">
        <f t="shared" si="65"/>
        <v>2</v>
      </c>
      <c r="V169" s="42">
        <f t="shared" si="66"/>
        <v>0</v>
      </c>
      <c r="W169" s="42">
        <f t="shared" si="67"/>
        <v>4</v>
      </c>
      <c r="X169" s="42">
        <f t="shared" si="68"/>
        <v>3</v>
      </c>
      <c r="Y169" s="42">
        <f t="shared" si="69"/>
        <v>0</v>
      </c>
      <c r="Z169" s="42">
        <f t="shared" si="70"/>
        <v>2</v>
      </c>
      <c r="AA169" s="52">
        <f t="shared" si="71"/>
        <v>22</v>
      </c>
      <c r="AB169" s="53">
        <f t="shared" si="72"/>
        <v>55</v>
      </c>
    </row>
    <row r="170" ht="15.0" customHeight="1">
      <c r="B170" s="43">
        <v>16.0</v>
      </c>
      <c r="C170" s="57" t="s">
        <v>216</v>
      </c>
      <c r="D170" s="43">
        <v>19.0</v>
      </c>
      <c r="E170" s="43" t="s">
        <v>202</v>
      </c>
      <c r="F170" s="47">
        <v>2.0</v>
      </c>
      <c r="G170" s="47">
        <v>2.0</v>
      </c>
      <c r="H170" s="47">
        <v>1.0</v>
      </c>
      <c r="I170" s="47">
        <v>1.0</v>
      </c>
      <c r="J170" s="47">
        <v>1.0</v>
      </c>
      <c r="K170" s="47">
        <v>3.0</v>
      </c>
      <c r="L170" s="47">
        <v>2.0</v>
      </c>
      <c r="M170" s="47">
        <v>4.0</v>
      </c>
      <c r="N170" s="47">
        <v>4.0</v>
      </c>
      <c r="O170" s="47">
        <v>2.0</v>
      </c>
      <c r="P170" s="37"/>
      <c r="Q170" s="42">
        <f t="shared" si="61"/>
        <v>1</v>
      </c>
      <c r="R170" s="42">
        <f t="shared" si="62"/>
        <v>3</v>
      </c>
      <c r="S170" s="42">
        <f t="shared" si="63"/>
        <v>0</v>
      </c>
      <c r="T170" s="42">
        <f t="shared" si="64"/>
        <v>4</v>
      </c>
      <c r="U170" s="42">
        <f t="shared" si="65"/>
        <v>0</v>
      </c>
      <c r="V170" s="42">
        <f t="shared" si="66"/>
        <v>2</v>
      </c>
      <c r="W170" s="42">
        <f t="shared" si="67"/>
        <v>1</v>
      </c>
      <c r="X170" s="42">
        <f t="shared" si="68"/>
        <v>1</v>
      </c>
      <c r="Y170" s="42">
        <f t="shared" si="69"/>
        <v>3</v>
      </c>
      <c r="Z170" s="42">
        <f t="shared" si="70"/>
        <v>3</v>
      </c>
      <c r="AA170" s="52">
        <f t="shared" si="71"/>
        <v>18</v>
      </c>
      <c r="AB170" s="53">
        <f t="shared" si="72"/>
        <v>45</v>
      </c>
    </row>
    <row r="171" ht="15.75" customHeight="1">
      <c r="B171" s="43">
        <v>17.0</v>
      </c>
      <c r="C171" s="57" t="s">
        <v>217</v>
      </c>
      <c r="D171" s="43">
        <v>15.0</v>
      </c>
      <c r="E171" s="43" t="s">
        <v>200</v>
      </c>
      <c r="F171" s="47">
        <v>3.0</v>
      </c>
      <c r="G171" s="47">
        <v>1.0</v>
      </c>
      <c r="H171" s="47">
        <v>3.0</v>
      </c>
      <c r="I171" s="47">
        <v>5.0</v>
      </c>
      <c r="J171" s="47">
        <v>2.0</v>
      </c>
      <c r="K171" s="47">
        <v>4.0</v>
      </c>
      <c r="L171" s="47">
        <v>4.0</v>
      </c>
      <c r="M171" s="47">
        <v>3.0</v>
      </c>
      <c r="N171" s="47">
        <v>2.0</v>
      </c>
      <c r="O171" s="47">
        <v>5.0</v>
      </c>
      <c r="P171" s="37"/>
      <c r="Q171" s="42">
        <f t="shared" si="61"/>
        <v>2</v>
      </c>
      <c r="R171" s="42">
        <f t="shared" si="62"/>
        <v>4</v>
      </c>
      <c r="S171" s="42">
        <f t="shared" si="63"/>
        <v>2</v>
      </c>
      <c r="T171" s="42">
        <f t="shared" si="64"/>
        <v>0</v>
      </c>
      <c r="U171" s="42">
        <f t="shared" si="65"/>
        <v>1</v>
      </c>
      <c r="V171" s="42">
        <f t="shared" si="66"/>
        <v>1</v>
      </c>
      <c r="W171" s="42">
        <f t="shared" si="67"/>
        <v>3</v>
      </c>
      <c r="X171" s="42">
        <f t="shared" si="68"/>
        <v>2</v>
      </c>
      <c r="Y171" s="42">
        <f t="shared" si="69"/>
        <v>1</v>
      </c>
      <c r="Z171" s="42">
        <f t="shared" si="70"/>
        <v>0</v>
      </c>
      <c r="AA171" s="52">
        <f t="shared" si="71"/>
        <v>16</v>
      </c>
      <c r="AB171" s="53">
        <f t="shared" si="72"/>
        <v>40</v>
      </c>
    </row>
    <row r="172" ht="15.75" customHeight="1">
      <c r="B172" s="43">
        <v>18.0</v>
      </c>
      <c r="C172" s="57" t="s">
        <v>218</v>
      </c>
      <c r="D172" s="43">
        <v>22.0</v>
      </c>
      <c r="E172" s="43" t="s">
        <v>202</v>
      </c>
      <c r="F172" s="47">
        <v>4.0</v>
      </c>
      <c r="G172" s="47">
        <v>3.0</v>
      </c>
      <c r="H172" s="47">
        <v>2.0</v>
      </c>
      <c r="I172" s="47">
        <v>2.0</v>
      </c>
      <c r="J172" s="47">
        <v>4.0</v>
      </c>
      <c r="K172" s="47">
        <v>1.0</v>
      </c>
      <c r="L172" s="47">
        <v>1.0</v>
      </c>
      <c r="M172" s="47">
        <v>5.0</v>
      </c>
      <c r="N172" s="47">
        <v>5.0</v>
      </c>
      <c r="O172" s="47">
        <v>1.0</v>
      </c>
      <c r="P172" s="37"/>
      <c r="Q172" s="42">
        <f t="shared" si="61"/>
        <v>3</v>
      </c>
      <c r="R172" s="42">
        <f t="shared" si="62"/>
        <v>2</v>
      </c>
      <c r="S172" s="42">
        <f t="shared" si="63"/>
        <v>1</v>
      </c>
      <c r="T172" s="42">
        <f t="shared" si="64"/>
        <v>3</v>
      </c>
      <c r="U172" s="42">
        <f t="shared" si="65"/>
        <v>3</v>
      </c>
      <c r="V172" s="42">
        <f t="shared" si="66"/>
        <v>4</v>
      </c>
      <c r="W172" s="42">
        <f t="shared" si="67"/>
        <v>0</v>
      </c>
      <c r="X172" s="42">
        <f t="shared" si="68"/>
        <v>0</v>
      </c>
      <c r="Y172" s="42">
        <f t="shared" si="69"/>
        <v>4</v>
      </c>
      <c r="Z172" s="42">
        <f t="shared" si="70"/>
        <v>4</v>
      </c>
      <c r="AA172" s="52">
        <f t="shared" si="71"/>
        <v>24</v>
      </c>
      <c r="AB172" s="53">
        <f t="shared" si="72"/>
        <v>60</v>
      </c>
    </row>
    <row r="173" ht="15.75" customHeight="1">
      <c r="B173" s="43">
        <v>19.0</v>
      </c>
      <c r="C173" s="57" t="s">
        <v>219</v>
      </c>
      <c r="D173" s="43">
        <v>35.0</v>
      </c>
      <c r="E173" s="43" t="s">
        <v>200</v>
      </c>
      <c r="F173" s="47">
        <v>5.0</v>
      </c>
      <c r="G173" s="47">
        <v>4.0</v>
      </c>
      <c r="H173" s="47">
        <v>5.0</v>
      </c>
      <c r="I173" s="47">
        <v>4.0</v>
      </c>
      <c r="J173" s="47">
        <v>3.0</v>
      </c>
      <c r="K173" s="47">
        <v>2.0</v>
      </c>
      <c r="L173" s="47">
        <v>5.0</v>
      </c>
      <c r="M173" s="47">
        <v>4.0</v>
      </c>
      <c r="N173" s="47">
        <v>1.0</v>
      </c>
      <c r="O173" s="47">
        <v>2.0</v>
      </c>
      <c r="P173" s="37"/>
      <c r="Q173" s="42">
        <f t="shared" si="61"/>
        <v>4</v>
      </c>
      <c r="R173" s="42">
        <f t="shared" si="62"/>
        <v>1</v>
      </c>
      <c r="S173" s="42">
        <f t="shared" si="63"/>
        <v>4</v>
      </c>
      <c r="T173" s="42">
        <f t="shared" si="64"/>
        <v>1</v>
      </c>
      <c r="U173" s="42">
        <f t="shared" si="65"/>
        <v>2</v>
      </c>
      <c r="V173" s="42">
        <f t="shared" si="66"/>
        <v>3</v>
      </c>
      <c r="W173" s="42">
        <f t="shared" si="67"/>
        <v>4</v>
      </c>
      <c r="X173" s="42">
        <f t="shared" si="68"/>
        <v>1</v>
      </c>
      <c r="Y173" s="42">
        <f t="shared" si="69"/>
        <v>0</v>
      </c>
      <c r="Z173" s="42">
        <f t="shared" si="70"/>
        <v>3</v>
      </c>
      <c r="AA173" s="52">
        <f t="shared" si="71"/>
        <v>23</v>
      </c>
      <c r="AB173" s="53">
        <f t="shared" si="72"/>
        <v>57.5</v>
      </c>
    </row>
    <row r="174" ht="15.75" customHeight="1">
      <c r="B174" s="43">
        <v>20.0</v>
      </c>
      <c r="C174" s="57" t="s">
        <v>220</v>
      </c>
      <c r="D174" s="43">
        <v>31.0</v>
      </c>
      <c r="E174" s="43" t="s">
        <v>202</v>
      </c>
      <c r="F174" s="47">
        <v>3.0</v>
      </c>
      <c r="G174" s="47">
        <v>5.0</v>
      </c>
      <c r="H174" s="47">
        <v>4.0</v>
      </c>
      <c r="I174" s="47">
        <v>3.0</v>
      </c>
      <c r="J174" s="47">
        <v>5.0</v>
      </c>
      <c r="K174" s="47">
        <v>1.0</v>
      </c>
      <c r="L174" s="47">
        <v>2.0</v>
      </c>
      <c r="M174" s="47">
        <v>2.0</v>
      </c>
      <c r="N174" s="47">
        <v>2.0</v>
      </c>
      <c r="O174" s="47">
        <v>3.0</v>
      </c>
      <c r="P174" s="37"/>
      <c r="Q174" s="42">
        <f t="shared" si="61"/>
        <v>2</v>
      </c>
      <c r="R174" s="42">
        <f t="shared" si="62"/>
        <v>0</v>
      </c>
      <c r="S174" s="42">
        <f t="shared" si="63"/>
        <v>3</v>
      </c>
      <c r="T174" s="42">
        <f t="shared" si="64"/>
        <v>2</v>
      </c>
      <c r="U174" s="42">
        <f t="shared" si="65"/>
        <v>4</v>
      </c>
      <c r="V174" s="42">
        <f t="shared" si="66"/>
        <v>4</v>
      </c>
      <c r="W174" s="42">
        <f t="shared" si="67"/>
        <v>1</v>
      </c>
      <c r="X174" s="42">
        <f t="shared" si="68"/>
        <v>3</v>
      </c>
      <c r="Y174" s="42">
        <f t="shared" si="69"/>
        <v>1</v>
      </c>
      <c r="Z174" s="42">
        <f t="shared" si="70"/>
        <v>2</v>
      </c>
      <c r="AA174" s="52">
        <f t="shared" si="71"/>
        <v>22</v>
      </c>
      <c r="AB174" s="53">
        <f t="shared" si="72"/>
        <v>55</v>
      </c>
    </row>
    <row r="175" ht="15.75" customHeight="1">
      <c r="B175" s="43">
        <v>21.0</v>
      </c>
      <c r="C175" s="57" t="s">
        <v>221</v>
      </c>
      <c r="D175" s="43">
        <v>23.0</v>
      </c>
      <c r="E175" s="43" t="s">
        <v>202</v>
      </c>
      <c r="F175" s="47">
        <v>4.0</v>
      </c>
      <c r="G175" s="47">
        <v>3.0</v>
      </c>
      <c r="H175" s="47">
        <v>3.0</v>
      </c>
      <c r="I175" s="47">
        <v>3.0</v>
      </c>
      <c r="J175" s="47">
        <v>3.0</v>
      </c>
      <c r="K175" s="47">
        <v>2.0</v>
      </c>
      <c r="L175" s="47">
        <v>4.0</v>
      </c>
      <c r="M175" s="47">
        <v>2.0</v>
      </c>
      <c r="N175" s="47">
        <v>3.0</v>
      </c>
      <c r="O175" s="47">
        <v>2.0</v>
      </c>
      <c r="P175" s="37"/>
      <c r="Q175" s="42">
        <f t="shared" si="61"/>
        <v>3</v>
      </c>
      <c r="R175" s="42">
        <f t="shared" si="62"/>
        <v>2</v>
      </c>
      <c r="S175" s="42">
        <f t="shared" si="63"/>
        <v>2</v>
      </c>
      <c r="T175" s="42">
        <f t="shared" si="64"/>
        <v>2</v>
      </c>
      <c r="U175" s="42">
        <f t="shared" si="65"/>
        <v>2</v>
      </c>
      <c r="V175" s="42">
        <f t="shared" si="66"/>
        <v>3</v>
      </c>
      <c r="W175" s="42">
        <f t="shared" si="67"/>
        <v>3</v>
      </c>
      <c r="X175" s="42">
        <f t="shared" si="68"/>
        <v>3</v>
      </c>
      <c r="Y175" s="42">
        <f t="shared" si="69"/>
        <v>2</v>
      </c>
      <c r="Z175" s="42">
        <f t="shared" si="70"/>
        <v>3</v>
      </c>
      <c r="AA175" s="52">
        <f t="shared" si="71"/>
        <v>25</v>
      </c>
      <c r="AB175" s="53">
        <f t="shared" si="72"/>
        <v>62.5</v>
      </c>
    </row>
    <row r="176" ht="15.75" customHeight="1">
      <c r="B176" s="43">
        <v>22.0</v>
      </c>
      <c r="C176" s="57" t="s">
        <v>222</v>
      </c>
      <c r="D176" s="43">
        <v>20.0</v>
      </c>
      <c r="E176" s="43" t="s">
        <v>200</v>
      </c>
      <c r="F176" s="47">
        <v>2.0</v>
      </c>
      <c r="G176" s="47">
        <v>3.0</v>
      </c>
      <c r="H176" s="47">
        <v>4.0</v>
      </c>
      <c r="I176" s="47">
        <v>5.0</v>
      </c>
      <c r="J176" s="47">
        <v>1.0</v>
      </c>
      <c r="K176" s="47">
        <v>2.0</v>
      </c>
      <c r="L176" s="47">
        <v>3.0</v>
      </c>
      <c r="M176" s="47">
        <v>4.0</v>
      </c>
      <c r="N176" s="47">
        <v>2.0</v>
      </c>
      <c r="O176" s="47">
        <v>1.0</v>
      </c>
      <c r="P176" s="37"/>
      <c r="Q176" s="42">
        <f t="shared" si="61"/>
        <v>1</v>
      </c>
      <c r="R176" s="42">
        <f t="shared" si="62"/>
        <v>2</v>
      </c>
      <c r="S176" s="42">
        <f t="shared" si="63"/>
        <v>3</v>
      </c>
      <c r="T176" s="42">
        <f t="shared" si="64"/>
        <v>0</v>
      </c>
      <c r="U176" s="42">
        <f t="shared" si="65"/>
        <v>0</v>
      </c>
      <c r="V176" s="42">
        <f t="shared" si="66"/>
        <v>3</v>
      </c>
      <c r="W176" s="42">
        <f t="shared" si="67"/>
        <v>2</v>
      </c>
      <c r="X176" s="42">
        <f t="shared" si="68"/>
        <v>1</v>
      </c>
      <c r="Y176" s="42">
        <f t="shared" si="69"/>
        <v>1</v>
      </c>
      <c r="Z176" s="42">
        <f t="shared" si="70"/>
        <v>4</v>
      </c>
      <c r="AA176" s="52">
        <f t="shared" si="71"/>
        <v>17</v>
      </c>
      <c r="AB176" s="53">
        <f t="shared" si="72"/>
        <v>42.5</v>
      </c>
    </row>
    <row r="177" ht="15.75" customHeight="1">
      <c r="B177" s="43">
        <v>23.0</v>
      </c>
      <c r="C177" s="57" t="s">
        <v>223</v>
      </c>
      <c r="D177" s="43">
        <v>20.0</v>
      </c>
      <c r="E177" s="43" t="s">
        <v>202</v>
      </c>
      <c r="F177" s="47">
        <v>4.0</v>
      </c>
      <c r="G177" s="47">
        <v>5.0</v>
      </c>
      <c r="H177" s="47">
        <v>1.0</v>
      </c>
      <c r="I177" s="47">
        <v>2.0</v>
      </c>
      <c r="J177" s="47">
        <v>3.0</v>
      </c>
      <c r="K177" s="47">
        <v>3.0</v>
      </c>
      <c r="L177" s="47">
        <v>4.0</v>
      </c>
      <c r="M177" s="47">
        <v>1.0</v>
      </c>
      <c r="N177" s="47">
        <v>5.0</v>
      </c>
      <c r="O177" s="47">
        <v>2.0</v>
      </c>
      <c r="P177" s="37"/>
      <c r="Q177" s="42">
        <f t="shared" si="61"/>
        <v>3</v>
      </c>
      <c r="R177" s="42">
        <f t="shared" si="62"/>
        <v>0</v>
      </c>
      <c r="S177" s="42">
        <f t="shared" si="63"/>
        <v>0</v>
      </c>
      <c r="T177" s="42">
        <f t="shared" si="64"/>
        <v>3</v>
      </c>
      <c r="U177" s="42">
        <f t="shared" si="65"/>
        <v>2</v>
      </c>
      <c r="V177" s="42">
        <f t="shared" si="66"/>
        <v>2</v>
      </c>
      <c r="W177" s="42">
        <f t="shared" si="67"/>
        <v>3</v>
      </c>
      <c r="X177" s="42">
        <f t="shared" si="68"/>
        <v>4</v>
      </c>
      <c r="Y177" s="42">
        <f t="shared" si="69"/>
        <v>4</v>
      </c>
      <c r="Z177" s="42">
        <f t="shared" si="70"/>
        <v>3</v>
      </c>
      <c r="AA177" s="52">
        <f t="shared" si="71"/>
        <v>24</v>
      </c>
      <c r="AB177" s="53">
        <f t="shared" si="72"/>
        <v>60</v>
      </c>
    </row>
    <row r="178" ht="15.75" customHeight="1">
      <c r="B178" s="43">
        <v>24.0</v>
      </c>
      <c r="C178" s="57" t="s">
        <v>224</v>
      </c>
      <c r="D178" s="43">
        <v>18.0</v>
      </c>
      <c r="E178" s="43" t="s">
        <v>202</v>
      </c>
      <c r="F178" s="47">
        <v>2.0</v>
      </c>
      <c r="G178" s="47">
        <v>3.0</v>
      </c>
      <c r="H178" s="47">
        <v>4.0</v>
      </c>
      <c r="I178" s="47">
        <v>3.0</v>
      </c>
      <c r="J178" s="47">
        <v>4.0</v>
      </c>
      <c r="K178" s="47">
        <v>3.0</v>
      </c>
      <c r="L178" s="47">
        <v>3.0</v>
      </c>
      <c r="M178" s="47">
        <v>4.0</v>
      </c>
      <c r="N178" s="47">
        <v>4.0</v>
      </c>
      <c r="O178" s="47">
        <v>4.0</v>
      </c>
      <c r="P178" s="37"/>
      <c r="Q178" s="42">
        <f t="shared" si="61"/>
        <v>1</v>
      </c>
      <c r="R178" s="42">
        <f t="shared" si="62"/>
        <v>2</v>
      </c>
      <c r="S178" s="42">
        <f t="shared" si="63"/>
        <v>3</v>
      </c>
      <c r="T178" s="42">
        <f t="shared" si="64"/>
        <v>2</v>
      </c>
      <c r="U178" s="42">
        <f t="shared" si="65"/>
        <v>3</v>
      </c>
      <c r="V178" s="42">
        <f t="shared" si="66"/>
        <v>2</v>
      </c>
      <c r="W178" s="42">
        <f t="shared" si="67"/>
        <v>2</v>
      </c>
      <c r="X178" s="42">
        <f t="shared" si="68"/>
        <v>1</v>
      </c>
      <c r="Y178" s="42">
        <f t="shared" si="69"/>
        <v>3</v>
      </c>
      <c r="Z178" s="42">
        <f t="shared" si="70"/>
        <v>1</v>
      </c>
      <c r="AA178" s="52">
        <f t="shared" si="71"/>
        <v>20</v>
      </c>
      <c r="AB178" s="53">
        <f t="shared" si="72"/>
        <v>50</v>
      </c>
    </row>
    <row r="179" ht="15.75" customHeight="1">
      <c r="B179" s="43">
        <v>25.0</v>
      </c>
      <c r="C179" s="57" t="s">
        <v>225</v>
      </c>
      <c r="D179" s="43">
        <v>25.0</v>
      </c>
      <c r="E179" s="43" t="s">
        <v>202</v>
      </c>
      <c r="F179" s="47">
        <v>4.0</v>
      </c>
      <c r="G179" s="47">
        <v>2.0</v>
      </c>
      <c r="H179" s="47">
        <v>3.0</v>
      </c>
      <c r="I179" s="47">
        <v>4.0</v>
      </c>
      <c r="J179" s="47">
        <v>4.0</v>
      </c>
      <c r="K179" s="47">
        <v>2.0</v>
      </c>
      <c r="L179" s="47">
        <v>3.0</v>
      </c>
      <c r="M179" s="47">
        <v>3.0</v>
      </c>
      <c r="N179" s="47">
        <v>4.0</v>
      </c>
      <c r="O179" s="47">
        <v>3.0</v>
      </c>
      <c r="P179" s="37"/>
      <c r="Q179" s="42">
        <f t="shared" si="61"/>
        <v>3</v>
      </c>
      <c r="R179" s="42">
        <f t="shared" si="62"/>
        <v>3</v>
      </c>
      <c r="S179" s="42">
        <f t="shared" si="63"/>
        <v>2</v>
      </c>
      <c r="T179" s="42">
        <f t="shared" si="64"/>
        <v>1</v>
      </c>
      <c r="U179" s="42">
        <f t="shared" si="65"/>
        <v>3</v>
      </c>
      <c r="V179" s="42">
        <f t="shared" si="66"/>
        <v>3</v>
      </c>
      <c r="W179" s="42">
        <f t="shared" si="67"/>
        <v>2</v>
      </c>
      <c r="X179" s="42">
        <f t="shared" si="68"/>
        <v>2</v>
      </c>
      <c r="Y179" s="42">
        <f t="shared" si="69"/>
        <v>3</v>
      </c>
      <c r="Z179" s="42">
        <f t="shared" si="70"/>
        <v>2</v>
      </c>
      <c r="AA179" s="52">
        <f t="shared" si="71"/>
        <v>24</v>
      </c>
      <c r="AB179" s="53">
        <f t="shared" si="72"/>
        <v>60</v>
      </c>
    </row>
    <row r="180" ht="15.75" customHeight="1">
      <c r="B180" s="54"/>
      <c r="C180" s="41" t="s">
        <v>226</v>
      </c>
      <c r="D180" s="55">
        <f>AVERAGE(D155:D179)</f>
        <v>21.68</v>
      </c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37"/>
      <c r="Q180" s="38" t="s">
        <v>227</v>
      </c>
      <c r="R180" s="35"/>
      <c r="S180" s="35"/>
      <c r="T180" s="35"/>
      <c r="U180" s="35"/>
      <c r="V180" s="35"/>
      <c r="W180" s="35"/>
      <c r="X180" s="35"/>
      <c r="Y180" s="35"/>
      <c r="Z180" s="35"/>
      <c r="AA180" s="36"/>
      <c r="AB180" s="56">
        <f>AVERAGE(AB155:AB179)</f>
        <v>54.6</v>
      </c>
    </row>
    <row r="181" ht="15.75" customHeight="1"/>
    <row r="182" ht="24.0" customHeight="1">
      <c r="A182" s="32" t="s">
        <v>233</v>
      </c>
    </row>
    <row r="183" ht="15.75" customHeight="1">
      <c r="B183" s="33" t="s">
        <v>181</v>
      </c>
      <c r="C183" s="33" t="s">
        <v>182</v>
      </c>
      <c r="D183" s="33" t="s">
        <v>183</v>
      </c>
      <c r="E183" s="33" t="s">
        <v>184</v>
      </c>
      <c r="F183" s="34" t="s">
        <v>185</v>
      </c>
      <c r="G183" s="35"/>
      <c r="H183" s="35"/>
      <c r="I183" s="35"/>
      <c r="J183" s="35"/>
      <c r="K183" s="35"/>
      <c r="L183" s="35"/>
      <c r="M183" s="35"/>
      <c r="N183" s="35"/>
      <c r="O183" s="36"/>
      <c r="P183" s="37"/>
      <c r="Q183" s="38" t="s">
        <v>186</v>
      </c>
      <c r="R183" s="35"/>
      <c r="S183" s="35"/>
      <c r="T183" s="35"/>
      <c r="U183" s="35"/>
      <c r="V183" s="35"/>
      <c r="W183" s="35"/>
      <c r="X183" s="35"/>
      <c r="Y183" s="35"/>
      <c r="Z183" s="36"/>
      <c r="AA183" s="33" t="s">
        <v>187</v>
      </c>
      <c r="AB183" s="39" t="s">
        <v>188</v>
      </c>
    </row>
    <row r="184" ht="15.75" customHeight="1">
      <c r="B184" s="40"/>
      <c r="C184" s="40"/>
      <c r="D184" s="40"/>
      <c r="E184" s="40"/>
      <c r="F184" s="41" t="s">
        <v>189</v>
      </c>
      <c r="G184" s="41" t="s">
        <v>190</v>
      </c>
      <c r="H184" s="41" t="s">
        <v>191</v>
      </c>
      <c r="I184" s="41" t="s">
        <v>192</v>
      </c>
      <c r="J184" s="41" t="s">
        <v>193</v>
      </c>
      <c r="K184" s="41" t="s">
        <v>194</v>
      </c>
      <c r="L184" s="41" t="s">
        <v>195</v>
      </c>
      <c r="M184" s="41" t="s">
        <v>196</v>
      </c>
      <c r="N184" s="41" t="s">
        <v>197</v>
      </c>
      <c r="O184" s="41" t="s">
        <v>198</v>
      </c>
      <c r="P184" s="37"/>
      <c r="Q184" s="42" t="s">
        <v>189</v>
      </c>
      <c r="R184" s="42" t="s">
        <v>190</v>
      </c>
      <c r="S184" s="42" t="s">
        <v>191</v>
      </c>
      <c r="T184" s="42" t="s">
        <v>192</v>
      </c>
      <c r="U184" s="42" t="s">
        <v>193</v>
      </c>
      <c r="V184" s="42" t="s">
        <v>194</v>
      </c>
      <c r="W184" s="42" t="s">
        <v>195</v>
      </c>
      <c r="X184" s="42" t="s">
        <v>196</v>
      </c>
      <c r="Y184" s="42" t="s">
        <v>197</v>
      </c>
      <c r="Z184" s="42" t="s">
        <v>198</v>
      </c>
      <c r="AA184" s="40"/>
      <c r="AB184" s="40"/>
    </row>
    <row r="185" ht="15.75" customHeight="1">
      <c r="B185" s="43">
        <v>1.0</v>
      </c>
      <c r="C185" s="57" t="s">
        <v>199</v>
      </c>
      <c r="D185" s="43">
        <v>19.0</v>
      </c>
      <c r="E185" s="43" t="s">
        <v>234</v>
      </c>
      <c r="F185" s="47">
        <v>5.0</v>
      </c>
      <c r="G185" s="47">
        <v>4.0</v>
      </c>
      <c r="H185" s="47">
        <v>5.0</v>
      </c>
      <c r="I185" s="47">
        <v>4.0</v>
      </c>
      <c r="J185" s="47">
        <v>5.0</v>
      </c>
      <c r="K185" s="47">
        <v>4.0</v>
      </c>
      <c r="L185" s="47">
        <v>5.0</v>
      </c>
      <c r="M185" s="47">
        <v>4.0</v>
      </c>
      <c r="N185" s="47">
        <v>5.0</v>
      </c>
      <c r="O185" s="47">
        <v>4.0</v>
      </c>
      <c r="P185" s="37"/>
      <c r="Q185" s="51">
        <f t="shared" ref="Q185:Q209" si="73">F185-1</f>
        <v>4</v>
      </c>
      <c r="R185" s="51">
        <f t="shared" ref="R185:R209" si="74">5-G185</f>
        <v>1</v>
      </c>
      <c r="S185" s="51">
        <f t="shared" ref="S185:S209" si="75">H185-1</f>
        <v>4</v>
      </c>
      <c r="T185" s="51">
        <f t="shared" ref="T185:T209" si="76">5-I185</f>
        <v>1</v>
      </c>
      <c r="U185" s="51">
        <f t="shared" ref="U185:U209" si="77">J185-1</f>
        <v>4</v>
      </c>
      <c r="V185" s="51">
        <f t="shared" ref="V185:V209" si="78">5-K185</f>
        <v>1</v>
      </c>
      <c r="W185" s="51">
        <f t="shared" ref="W185:W209" si="79">L185-1</f>
        <v>4</v>
      </c>
      <c r="X185" s="51">
        <f t="shared" ref="X185:X209" si="80">5-M185</f>
        <v>1</v>
      </c>
      <c r="Y185" s="51">
        <f t="shared" ref="Y185:Y209" si="81">N185-1</f>
        <v>4</v>
      </c>
      <c r="Z185" s="51">
        <f t="shared" ref="Z185:Z209" si="82">5-O185</f>
        <v>1</v>
      </c>
      <c r="AA185" s="52">
        <f t="shared" ref="AA185:AA209" si="83">SUM(Q185:Z185)</f>
        <v>25</v>
      </c>
      <c r="AB185" s="53">
        <f t="shared" ref="AB185:AB209" si="84">AA185*2.5</f>
        <v>62.5</v>
      </c>
    </row>
    <row r="186" ht="15.75" customHeight="1">
      <c r="B186" s="43">
        <v>2.0</v>
      </c>
      <c r="C186" s="57" t="s">
        <v>201</v>
      </c>
      <c r="D186" s="43">
        <v>19.0</v>
      </c>
      <c r="E186" s="43" t="s">
        <v>234</v>
      </c>
      <c r="F186" s="47">
        <v>3.0</v>
      </c>
      <c r="G186" s="47">
        <v>4.0</v>
      </c>
      <c r="H186" s="47">
        <v>1.0</v>
      </c>
      <c r="I186" s="47">
        <v>4.0</v>
      </c>
      <c r="J186" s="47">
        <v>5.0</v>
      </c>
      <c r="K186" s="47">
        <v>1.0</v>
      </c>
      <c r="L186" s="47">
        <v>3.0</v>
      </c>
      <c r="M186" s="47">
        <v>5.0</v>
      </c>
      <c r="N186" s="47">
        <v>1.0</v>
      </c>
      <c r="O186" s="47">
        <v>3.0</v>
      </c>
      <c r="P186" s="37"/>
      <c r="Q186" s="42">
        <f t="shared" si="73"/>
        <v>2</v>
      </c>
      <c r="R186" s="42">
        <f t="shared" si="74"/>
        <v>1</v>
      </c>
      <c r="S186" s="42">
        <f t="shared" si="75"/>
        <v>0</v>
      </c>
      <c r="T186" s="42">
        <f t="shared" si="76"/>
        <v>1</v>
      </c>
      <c r="U186" s="42">
        <f t="shared" si="77"/>
        <v>4</v>
      </c>
      <c r="V186" s="42">
        <f t="shared" si="78"/>
        <v>4</v>
      </c>
      <c r="W186" s="42">
        <f t="shared" si="79"/>
        <v>2</v>
      </c>
      <c r="X186" s="42">
        <f t="shared" si="80"/>
        <v>0</v>
      </c>
      <c r="Y186" s="42">
        <f t="shared" si="81"/>
        <v>0</v>
      </c>
      <c r="Z186" s="42">
        <f t="shared" si="82"/>
        <v>2</v>
      </c>
      <c r="AA186" s="52">
        <f t="shared" si="83"/>
        <v>16</v>
      </c>
      <c r="AB186" s="53">
        <f t="shared" si="84"/>
        <v>40</v>
      </c>
    </row>
    <row r="187" ht="15.75" customHeight="1">
      <c r="B187" s="43">
        <v>3.0</v>
      </c>
      <c r="C187" s="57" t="s">
        <v>203</v>
      </c>
      <c r="D187" s="43">
        <v>44.0</v>
      </c>
      <c r="E187" s="43" t="s">
        <v>234</v>
      </c>
      <c r="F187" s="47">
        <v>5.0</v>
      </c>
      <c r="G187" s="47">
        <v>1.0</v>
      </c>
      <c r="H187" s="47">
        <v>3.0</v>
      </c>
      <c r="I187" s="47">
        <v>1.0</v>
      </c>
      <c r="J187" s="47">
        <v>5.0</v>
      </c>
      <c r="K187" s="47">
        <v>1.0</v>
      </c>
      <c r="L187" s="47">
        <v>5.0</v>
      </c>
      <c r="M187" s="47">
        <v>3.0</v>
      </c>
      <c r="N187" s="47">
        <v>1.0</v>
      </c>
      <c r="O187" s="47">
        <v>5.0</v>
      </c>
      <c r="P187" s="37"/>
      <c r="Q187" s="42">
        <f t="shared" si="73"/>
        <v>4</v>
      </c>
      <c r="R187" s="42">
        <f t="shared" si="74"/>
        <v>4</v>
      </c>
      <c r="S187" s="42">
        <f t="shared" si="75"/>
        <v>2</v>
      </c>
      <c r="T187" s="42">
        <f t="shared" si="76"/>
        <v>4</v>
      </c>
      <c r="U187" s="42">
        <f t="shared" si="77"/>
        <v>4</v>
      </c>
      <c r="V187" s="42">
        <f t="shared" si="78"/>
        <v>4</v>
      </c>
      <c r="W187" s="42">
        <f t="shared" si="79"/>
        <v>4</v>
      </c>
      <c r="X187" s="42">
        <f t="shared" si="80"/>
        <v>2</v>
      </c>
      <c r="Y187" s="42">
        <f t="shared" si="81"/>
        <v>0</v>
      </c>
      <c r="Z187" s="42">
        <f t="shared" si="82"/>
        <v>0</v>
      </c>
      <c r="AA187" s="52">
        <f t="shared" si="83"/>
        <v>28</v>
      </c>
      <c r="AB187" s="53">
        <f t="shared" si="84"/>
        <v>70</v>
      </c>
    </row>
    <row r="188" ht="15.75" customHeight="1">
      <c r="B188" s="43">
        <v>4.0</v>
      </c>
      <c r="C188" s="57" t="s">
        <v>204</v>
      </c>
      <c r="D188" s="43">
        <v>20.0</v>
      </c>
      <c r="E188" s="43" t="s">
        <v>200</v>
      </c>
      <c r="F188" s="47">
        <v>2.0</v>
      </c>
      <c r="G188" s="47">
        <v>2.0</v>
      </c>
      <c r="H188" s="47">
        <v>3.0</v>
      </c>
      <c r="I188" s="47">
        <v>2.0</v>
      </c>
      <c r="J188" s="47">
        <v>4.0</v>
      </c>
      <c r="K188" s="47">
        <v>2.0</v>
      </c>
      <c r="L188" s="47">
        <v>3.0</v>
      </c>
      <c r="M188" s="47">
        <v>5.0</v>
      </c>
      <c r="N188" s="47">
        <v>5.0</v>
      </c>
      <c r="O188" s="47">
        <v>5.0</v>
      </c>
      <c r="P188" s="37"/>
      <c r="Q188" s="42">
        <f t="shared" si="73"/>
        <v>1</v>
      </c>
      <c r="R188" s="42">
        <f t="shared" si="74"/>
        <v>3</v>
      </c>
      <c r="S188" s="42">
        <f t="shared" si="75"/>
        <v>2</v>
      </c>
      <c r="T188" s="42">
        <f t="shared" si="76"/>
        <v>3</v>
      </c>
      <c r="U188" s="42">
        <f t="shared" si="77"/>
        <v>3</v>
      </c>
      <c r="V188" s="42">
        <f t="shared" si="78"/>
        <v>3</v>
      </c>
      <c r="W188" s="42">
        <f t="shared" si="79"/>
        <v>2</v>
      </c>
      <c r="X188" s="42">
        <f t="shared" si="80"/>
        <v>0</v>
      </c>
      <c r="Y188" s="42">
        <f t="shared" si="81"/>
        <v>4</v>
      </c>
      <c r="Z188" s="42">
        <f t="shared" si="82"/>
        <v>0</v>
      </c>
      <c r="AA188" s="52">
        <f t="shared" si="83"/>
        <v>21</v>
      </c>
      <c r="AB188" s="53">
        <f t="shared" si="84"/>
        <v>52.5</v>
      </c>
    </row>
    <row r="189" ht="15.75" customHeight="1">
      <c r="B189" s="43">
        <v>5.0</v>
      </c>
      <c r="C189" s="57" t="s">
        <v>205</v>
      </c>
      <c r="D189" s="43">
        <v>18.0</v>
      </c>
      <c r="E189" s="43" t="s">
        <v>200</v>
      </c>
      <c r="F189" s="47">
        <v>4.0</v>
      </c>
      <c r="G189" s="47">
        <v>3.0</v>
      </c>
      <c r="H189" s="47">
        <v>3.0</v>
      </c>
      <c r="I189" s="47">
        <v>4.0</v>
      </c>
      <c r="J189" s="47">
        <v>3.0</v>
      </c>
      <c r="K189" s="47">
        <v>3.0</v>
      </c>
      <c r="L189" s="47">
        <v>3.0</v>
      </c>
      <c r="M189" s="47">
        <v>4.0</v>
      </c>
      <c r="N189" s="47">
        <v>4.0</v>
      </c>
      <c r="O189" s="47">
        <v>4.0</v>
      </c>
      <c r="P189" s="37"/>
      <c r="Q189" s="42">
        <f t="shared" si="73"/>
        <v>3</v>
      </c>
      <c r="R189" s="42">
        <f t="shared" si="74"/>
        <v>2</v>
      </c>
      <c r="S189" s="42">
        <f t="shared" si="75"/>
        <v>2</v>
      </c>
      <c r="T189" s="42">
        <f t="shared" si="76"/>
        <v>1</v>
      </c>
      <c r="U189" s="42">
        <f t="shared" si="77"/>
        <v>2</v>
      </c>
      <c r="V189" s="42">
        <f t="shared" si="78"/>
        <v>2</v>
      </c>
      <c r="W189" s="42">
        <f t="shared" si="79"/>
        <v>2</v>
      </c>
      <c r="X189" s="42">
        <f t="shared" si="80"/>
        <v>1</v>
      </c>
      <c r="Y189" s="42">
        <f t="shared" si="81"/>
        <v>3</v>
      </c>
      <c r="Z189" s="42">
        <f t="shared" si="82"/>
        <v>1</v>
      </c>
      <c r="AA189" s="52">
        <f t="shared" si="83"/>
        <v>19</v>
      </c>
      <c r="AB189" s="53">
        <f t="shared" si="84"/>
        <v>47.5</v>
      </c>
    </row>
    <row r="190" ht="15.75" customHeight="1">
      <c r="B190" s="43">
        <v>6.0</v>
      </c>
      <c r="C190" s="57" t="s">
        <v>206</v>
      </c>
      <c r="D190" s="43">
        <v>18.0</v>
      </c>
      <c r="E190" s="43" t="s">
        <v>234</v>
      </c>
      <c r="F190" s="47">
        <v>4.0</v>
      </c>
      <c r="G190" s="47">
        <v>3.0</v>
      </c>
      <c r="H190" s="47">
        <v>4.0</v>
      </c>
      <c r="I190" s="47">
        <v>3.0</v>
      </c>
      <c r="J190" s="47">
        <v>4.0</v>
      </c>
      <c r="K190" s="47">
        <v>2.0</v>
      </c>
      <c r="L190" s="47">
        <v>4.0</v>
      </c>
      <c r="M190" s="47">
        <v>4.0</v>
      </c>
      <c r="N190" s="47">
        <v>3.0</v>
      </c>
      <c r="O190" s="47">
        <v>4.0</v>
      </c>
      <c r="P190" s="37"/>
      <c r="Q190" s="42">
        <f t="shared" si="73"/>
        <v>3</v>
      </c>
      <c r="R190" s="42">
        <f t="shared" si="74"/>
        <v>2</v>
      </c>
      <c r="S190" s="42">
        <f t="shared" si="75"/>
        <v>3</v>
      </c>
      <c r="T190" s="42">
        <f t="shared" si="76"/>
        <v>2</v>
      </c>
      <c r="U190" s="42">
        <f t="shared" si="77"/>
        <v>3</v>
      </c>
      <c r="V190" s="42">
        <f t="shared" si="78"/>
        <v>3</v>
      </c>
      <c r="W190" s="42">
        <f t="shared" si="79"/>
        <v>3</v>
      </c>
      <c r="X190" s="42">
        <f t="shared" si="80"/>
        <v>1</v>
      </c>
      <c r="Y190" s="42">
        <f t="shared" si="81"/>
        <v>2</v>
      </c>
      <c r="Z190" s="42">
        <f t="shared" si="82"/>
        <v>1</v>
      </c>
      <c r="AA190" s="52">
        <f t="shared" si="83"/>
        <v>23</v>
      </c>
      <c r="AB190" s="53">
        <f t="shared" si="84"/>
        <v>57.5</v>
      </c>
    </row>
    <row r="191" ht="15.75" customHeight="1">
      <c r="B191" s="43">
        <v>7.0</v>
      </c>
      <c r="C191" s="57" t="s">
        <v>207</v>
      </c>
      <c r="D191" s="43">
        <v>19.0</v>
      </c>
      <c r="E191" s="43" t="s">
        <v>234</v>
      </c>
      <c r="F191" s="47">
        <v>2.0</v>
      </c>
      <c r="G191" s="47">
        <v>2.0</v>
      </c>
      <c r="H191" s="47">
        <v>4.0</v>
      </c>
      <c r="I191" s="47">
        <v>2.0</v>
      </c>
      <c r="J191" s="47">
        <v>4.0</v>
      </c>
      <c r="K191" s="47">
        <v>3.0</v>
      </c>
      <c r="L191" s="47">
        <v>4.0</v>
      </c>
      <c r="M191" s="47">
        <v>4.0</v>
      </c>
      <c r="N191" s="47">
        <v>4.0</v>
      </c>
      <c r="O191" s="47">
        <v>3.0</v>
      </c>
      <c r="P191" s="37"/>
      <c r="Q191" s="42">
        <f t="shared" si="73"/>
        <v>1</v>
      </c>
      <c r="R191" s="42">
        <f t="shared" si="74"/>
        <v>3</v>
      </c>
      <c r="S191" s="42">
        <f t="shared" si="75"/>
        <v>3</v>
      </c>
      <c r="T191" s="42">
        <f t="shared" si="76"/>
        <v>3</v>
      </c>
      <c r="U191" s="42">
        <f t="shared" si="77"/>
        <v>3</v>
      </c>
      <c r="V191" s="42">
        <f t="shared" si="78"/>
        <v>2</v>
      </c>
      <c r="W191" s="42">
        <f t="shared" si="79"/>
        <v>3</v>
      </c>
      <c r="X191" s="42">
        <f t="shared" si="80"/>
        <v>1</v>
      </c>
      <c r="Y191" s="42">
        <f t="shared" si="81"/>
        <v>3</v>
      </c>
      <c r="Z191" s="42">
        <f t="shared" si="82"/>
        <v>2</v>
      </c>
      <c r="AA191" s="52">
        <f t="shared" si="83"/>
        <v>24</v>
      </c>
      <c r="AB191" s="53">
        <f t="shared" si="84"/>
        <v>60</v>
      </c>
    </row>
    <row r="192" ht="15.75" customHeight="1">
      <c r="B192" s="43">
        <v>8.0</v>
      </c>
      <c r="C192" s="57" t="s">
        <v>208</v>
      </c>
      <c r="D192" s="43">
        <v>19.0</v>
      </c>
      <c r="E192" s="43" t="s">
        <v>234</v>
      </c>
      <c r="F192" s="47">
        <v>1.0</v>
      </c>
      <c r="G192" s="47">
        <v>1.0</v>
      </c>
      <c r="H192" s="47">
        <v>5.0</v>
      </c>
      <c r="I192" s="47">
        <v>2.0</v>
      </c>
      <c r="J192" s="47">
        <v>3.0</v>
      </c>
      <c r="K192" s="47">
        <v>1.0</v>
      </c>
      <c r="L192" s="47">
        <v>5.0</v>
      </c>
      <c r="M192" s="47">
        <v>5.0</v>
      </c>
      <c r="N192" s="47">
        <v>5.0</v>
      </c>
      <c r="O192" s="47">
        <v>5.0</v>
      </c>
      <c r="P192" s="37"/>
      <c r="Q192" s="42">
        <f t="shared" si="73"/>
        <v>0</v>
      </c>
      <c r="R192" s="42">
        <f t="shared" si="74"/>
        <v>4</v>
      </c>
      <c r="S192" s="42">
        <f t="shared" si="75"/>
        <v>4</v>
      </c>
      <c r="T192" s="42">
        <f t="shared" si="76"/>
        <v>3</v>
      </c>
      <c r="U192" s="42">
        <f t="shared" si="77"/>
        <v>2</v>
      </c>
      <c r="V192" s="42">
        <f t="shared" si="78"/>
        <v>4</v>
      </c>
      <c r="W192" s="42">
        <f t="shared" si="79"/>
        <v>4</v>
      </c>
      <c r="X192" s="42">
        <f t="shared" si="80"/>
        <v>0</v>
      </c>
      <c r="Y192" s="42">
        <f t="shared" si="81"/>
        <v>4</v>
      </c>
      <c r="Z192" s="42">
        <f t="shared" si="82"/>
        <v>0</v>
      </c>
      <c r="AA192" s="52">
        <f t="shared" si="83"/>
        <v>25</v>
      </c>
      <c r="AB192" s="53">
        <f t="shared" si="84"/>
        <v>62.5</v>
      </c>
    </row>
    <row r="193" ht="15.75" customHeight="1">
      <c r="B193" s="43">
        <v>9.0</v>
      </c>
      <c r="C193" s="57" t="s">
        <v>209</v>
      </c>
      <c r="D193" s="43">
        <v>20.0</v>
      </c>
      <c r="E193" s="43" t="s">
        <v>234</v>
      </c>
      <c r="F193" s="47">
        <v>3.0</v>
      </c>
      <c r="G193" s="47">
        <v>2.0</v>
      </c>
      <c r="H193" s="47">
        <v>5.0</v>
      </c>
      <c r="I193" s="47">
        <v>3.0</v>
      </c>
      <c r="J193" s="47">
        <v>4.0</v>
      </c>
      <c r="K193" s="47">
        <v>2.0</v>
      </c>
      <c r="L193" s="47">
        <v>4.0</v>
      </c>
      <c r="M193" s="47">
        <v>5.0</v>
      </c>
      <c r="N193" s="47">
        <v>5.0</v>
      </c>
      <c r="O193" s="47">
        <v>5.0</v>
      </c>
      <c r="P193" s="37"/>
      <c r="Q193" s="42">
        <f t="shared" si="73"/>
        <v>2</v>
      </c>
      <c r="R193" s="42">
        <f t="shared" si="74"/>
        <v>3</v>
      </c>
      <c r="S193" s="42">
        <f t="shared" si="75"/>
        <v>4</v>
      </c>
      <c r="T193" s="42">
        <f t="shared" si="76"/>
        <v>2</v>
      </c>
      <c r="U193" s="42">
        <f t="shared" si="77"/>
        <v>3</v>
      </c>
      <c r="V193" s="42">
        <f t="shared" si="78"/>
        <v>3</v>
      </c>
      <c r="W193" s="42">
        <f t="shared" si="79"/>
        <v>3</v>
      </c>
      <c r="X193" s="42">
        <f t="shared" si="80"/>
        <v>0</v>
      </c>
      <c r="Y193" s="42">
        <f t="shared" si="81"/>
        <v>4</v>
      </c>
      <c r="Z193" s="42">
        <f t="shared" si="82"/>
        <v>0</v>
      </c>
      <c r="AA193" s="52">
        <f t="shared" si="83"/>
        <v>24</v>
      </c>
      <c r="AB193" s="53">
        <f t="shared" si="84"/>
        <v>60</v>
      </c>
    </row>
    <row r="194" ht="15.75" customHeight="1">
      <c r="B194" s="43">
        <v>10.0</v>
      </c>
      <c r="C194" s="57" t="s">
        <v>210</v>
      </c>
      <c r="D194" s="43">
        <v>20.0</v>
      </c>
      <c r="E194" s="43" t="s">
        <v>234</v>
      </c>
      <c r="F194" s="47">
        <v>1.0</v>
      </c>
      <c r="G194" s="47">
        <v>1.0</v>
      </c>
      <c r="H194" s="47">
        <v>3.0</v>
      </c>
      <c r="I194" s="47">
        <v>2.0</v>
      </c>
      <c r="J194" s="47">
        <v>5.0</v>
      </c>
      <c r="K194" s="47">
        <v>1.0</v>
      </c>
      <c r="L194" s="47">
        <v>5.0</v>
      </c>
      <c r="M194" s="47">
        <v>5.0</v>
      </c>
      <c r="N194" s="47">
        <v>5.0</v>
      </c>
      <c r="O194" s="47">
        <v>5.0</v>
      </c>
      <c r="P194" s="37"/>
      <c r="Q194" s="42">
        <f t="shared" si="73"/>
        <v>0</v>
      </c>
      <c r="R194" s="42">
        <f t="shared" si="74"/>
        <v>4</v>
      </c>
      <c r="S194" s="42">
        <f t="shared" si="75"/>
        <v>2</v>
      </c>
      <c r="T194" s="42">
        <f t="shared" si="76"/>
        <v>3</v>
      </c>
      <c r="U194" s="42">
        <f t="shared" si="77"/>
        <v>4</v>
      </c>
      <c r="V194" s="42">
        <f t="shared" si="78"/>
        <v>4</v>
      </c>
      <c r="W194" s="42">
        <f t="shared" si="79"/>
        <v>4</v>
      </c>
      <c r="X194" s="42">
        <f t="shared" si="80"/>
        <v>0</v>
      </c>
      <c r="Y194" s="42">
        <f t="shared" si="81"/>
        <v>4</v>
      </c>
      <c r="Z194" s="42">
        <f t="shared" si="82"/>
        <v>0</v>
      </c>
      <c r="AA194" s="52">
        <f t="shared" si="83"/>
        <v>25</v>
      </c>
      <c r="AB194" s="53">
        <f t="shared" si="84"/>
        <v>62.5</v>
      </c>
    </row>
    <row r="195" ht="15.75" customHeight="1">
      <c r="B195" s="43">
        <v>11.0</v>
      </c>
      <c r="C195" s="57" t="s">
        <v>211</v>
      </c>
      <c r="D195" s="43">
        <v>20.0</v>
      </c>
      <c r="E195" s="43" t="s">
        <v>200</v>
      </c>
      <c r="F195" s="47">
        <v>2.0</v>
      </c>
      <c r="G195" s="47">
        <v>4.0</v>
      </c>
      <c r="H195" s="47">
        <v>4.0</v>
      </c>
      <c r="I195" s="47">
        <v>3.0</v>
      </c>
      <c r="J195" s="47">
        <v>2.0</v>
      </c>
      <c r="K195" s="47">
        <v>5.0</v>
      </c>
      <c r="L195" s="47">
        <v>4.0</v>
      </c>
      <c r="M195" s="47">
        <v>5.0</v>
      </c>
      <c r="N195" s="47">
        <v>5.0</v>
      </c>
      <c r="O195" s="47">
        <v>5.0</v>
      </c>
      <c r="P195" s="37"/>
      <c r="Q195" s="42">
        <f t="shared" si="73"/>
        <v>1</v>
      </c>
      <c r="R195" s="42">
        <f t="shared" si="74"/>
        <v>1</v>
      </c>
      <c r="S195" s="42">
        <f t="shared" si="75"/>
        <v>3</v>
      </c>
      <c r="T195" s="42">
        <f t="shared" si="76"/>
        <v>2</v>
      </c>
      <c r="U195" s="42">
        <f t="shared" si="77"/>
        <v>1</v>
      </c>
      <c r="V195" s="42">
        <f t="shared" si="78"/>
        <v>0</v>
      </c>
      <c r="W195" s="42">
        <f t="shared" si="79"/>
        <v>3</v>
      </c>
      <c r="X195" s="42">
        <f t="shared" si="80"/>
        <v>0</v>
      </c>
      <c r="Y195" s="42">
        <f t="shared" si="81"/>
        <v>4</v>
      </c>
      <c r="Z195" s="42">
        <f t="shared" si="82"/>
        <v>0</v>
      </c>
      <c r="AA195" s="52">
        <f t="shared" si="83"/>
        <v>15</v>
      </c>
      <c r="AB195" s="53">
        <f t="shared" si="84"/>
        <v>37.5</v>
      </c>
    </row>
    <row r="196" ht="15.75" customHeight="1">
      <c r="B196" s="43">
        <v>12.0</v>
      </c>
      <c r="C196" s="57" t="s">
        <v>212</v>
      </c>
      <c r="D196" s="43">
        <v>18.0</v>
      </c>
      <c r="E196" s="43" t="s">
        <v>200</v>
      </c>
      <c r="F196" s="47">
        <v>1.0</v>
      </c>
      <c r="G196" s="47">
        <v>1.0</v>
      </c>
      <c r="H196" s="47">
        <v>4.0</v>
      </c>
      <c r="I196" s="47">
        <v>1.0</v>
      </c>
      <c r="J196" s="47">
        <v>5.0</v>
      </c>
      <c r="K196" s="47">
        <v>2.0</v>
      </c>
      <c r="L196" s="47">
        <v>4.0</v>
      </c>
      <c r="M196" s="47">
        <v>5.0</v>
      </c>
      <c r="N196" s="47">
        <v>4.0</v>
      </c>
      <c r="O196" s="47">
        <v>4.0</v>
      </c>
      <c r="P196" s="37"/>
      <c r="Q196" s="42">
        <f t="shared" si="73"/>
        <v>0</v>
      </c>
      <c r="R196" s="42">
        <f t="shared" si="74"/>
        <v>4</v>
      </c>
      <c r="S196" s="42">
        <f t="shared" si="75"/>
        <v>3</v>
      </c>
      <c r="T196" s="42">
        <f t="shared" si="76"/>
        <v>4</v>
      </c>
      <c r="U196" s="42">
        <f t="shared" si="77"/>
        <v>4</v>
      </c>
      <c r="V196" s="42">
        <f t="shared" si="78"/>
        <v>3</v>
      </c>
      <c r="W196" s="42">
        <f t="shared" si="79"/>
        <v>3</v>
      </c>
      <c r="X196" s="42">
        <f t="shared" si="80"/>
        <v>0</v>
      </c>
      <c r="Y196" s="42">
        <f t="shared" si="81"/>
        <v>3</v>
      </c>
      <c r="Z196" s="42">
        <f t="shared" si="82"/>
        <v>1</v>
      </c>
      <c r="AA196" s="52">
        <f t="shared" si="83"/>
        <v>25</v>
      </c>
      <c r="AB196" s="53">
        <f t="shared" si="84"/>
        <v>62.5</v>
      </c>
    </row>
    <row r="197" ht="15.75" customHeight="1">
      <c r="B197" s="43">
        <v>13.0</v>
      </c>
      <c r="C197" s="57" t="s">
        <v>213</v>
      </c>
      <c r="D197" s="43">
        <v>20.0</v>
      </c>
      <c r="E197" s="43" t="s">
        <v>202</v>
      </c>
      <c r="F197" s="47">
        <v>4.0</v>
      </c>
      <c r="G197" s="47">
        <v>5.0</v>
      </c>
      <c r="H197" s="47">
        <v>4.0</v>
      </c>
      <c r="I197" s="47">
        <v>5.0</v>
      </c>
      <c r="J197" s="47">
        <v>4.0</v>
      </c>
      <c r="K197" s="47">
        <v>4.0</v>
      </c>
      <c r="L197" s="47">
        <v>5.0</v>
      </c>
      <c r="M197" s="47">
        <v>3.0</v>
      </c>
      <c r="N197" s="47">
        <v>3.0</v>
      </c>
      <c r="O197" s="47">
        <v>3.0</v>
      </c>
      <c r="P197" s="37"/>
      <c r="Q197" s="42">
        <f t="shared" si="73"/>
        <v>3</v>
      </c>
      <c r="R197" s="42">
        <f t="shared" si="74"/>
        <v>0</v>
      </c>
      <c r="S197" s="42">
        <f t="shared" si="75"/>
        <v>3</v>
      </c>
      <c r="T197" s="42">
        <f t="shared" si="76"/>
        <v>0</v>
      </c>
      <c r="U197" s="42">
        <f t="shared" si="77"/>
        <v>3</v>
      </c>
      <c r="V197" s="42">
        <f t="shared" si="78"/>
        <v>1</v>
      </c>
      <c r="W197" s="42">
        <f t="shared" si="79"/>
        <v>4</v>
      </c>
      <c r="X197" s="42">
        <f t="shared" si="80"/>
        <v>2</v>
      </c>
      <c r="Y197" s="42">
        <f t="shared" si="81"/>
        <v>2</v>
      </c>
      <c r="Z197" s="42">
        <f t="shared" si="82"/>
        <v>2</v>
      </c>
      <c r="AA197" s="52">
        <f t="shared" si="83"/>
        <v>20</v>
      </c>
      <c r="AB197" s="53">
        <f t="shared" si="84"/>
        <v>50</v>
      </c>
    </row>
    <row r="198" ht="15.75" customHeight="1">
      <c r="B198" s="43">
        <v>14.0</v>
      </c>
      <c r="C198" s="57" t="s">
        <v>214</v>
      </c>
      <c r="D198" s="43">
        <v>18.0</v>
      </c>
      <c r="E198" s="43" t="s">
        <v>200</v>
      </c>
      <c r="F198" s="47">
        <v>2.0</v>
      </c>
      <c r="G198" s="47">
        <v>3.0</v>
      </c>
      <c r="H198" s="47">
        <v>1.0</v>
      </c>
      <c r="I198" s="47">
        <v>1.0</v>
      </c>
      <c r="J198" s="47">
        <v>3.0</v>
      </c>
      <c r="K198" s="47">
        <v>4.0</v>
      </c>
      <c r="L198" s="47">
        <v>4.0</v>
      </c>
      <c r="M198" s="47">
        <v>3.0</v>
      </c>
      <c r="N198" s="47">
        <v>1.0</v>
      </c>
      <c r="O198" s="47">
        <v>5.0</v>
      </c>
      <c r="P198" s="37"/>
      <c r="Q198" s="42">
        <f t="shared" si="73"/>
        <v>1</v>
      </c>
      <c r="R198" s="42">
        <f t="shared" si="74"/>
        <v>2</v>
      </c>
      <c r="S198" s="42">
        <f t="shared" si="75"/>
        <v>0</v>
      </c>
      <c r="T198" s="42">
        <f t="shared" si="76"/>
        <v>4</v>
      </c>
      <c r="U198" s="42">
        <f t="shared" si="77"/>
        <v>2</v>
      </c>
      <c r="V198" s="42">
        <f t="shared" si="78"/>
        <v>1</v>
      </c>
      <c r="W198" s="42">
        <f t="shared" si="79"/>
        <v>3</v>
      </c>
      <c r="X198" s="42">
        <f t="shared" si="80"/>
        <v>2</v>
      </c>
      <c r="Y198" s="42">
        <f t="shared" si="81"/>
        <v>0</v>
      </c>
      <c r="Z198" s="42">
        <f t="shared" si="82"/>
        <v>0</v>
      </c>
      <c r="AA198" s="52">
        <f t="shared" si="83"/>
        <v>15</v>
      </c>
      <c r="AB198" s="53">
        <f t="shared" si="84"/>
        <v>37.5</v>
      </c>
    </row>
    <row r="199" ht="15.75" customHeight="1">
      <c r="B199" s="43">
        <v>15.0</v>
      </c>
      <c r="C199" s="57" t="s">
        <v>215</v>
      </c>
      <c r="D199" s="43">
        <v>16.0</v>
      </c>
      <c r="E199" s="43" t="s">
        <v>202</v>
      </c>
      <c r="F199" s="47">
        <v>1.0</v>
      </c>
      <c r="G199" s="47">
        <v>1.0</v>
      </c>
      <c r="H199" s="47">
        <v>2.0</v>
      </c>
      <c r="I199" s="47">
        <v>4.0</v>
      </c>
      <c r="J199" s="47">
        <v>4.0</v>
      </c>
      <c r="K199" s="47">
        <v>5.0</v>
      </c>
      <c r="L199" s="47">
        <v>3.0</v>
      </c>
      <c r="M199" s="47">
        <v>1.0</v>
      </c>
      <c r="N199" s="47">
        <v>4.0</v>
      </c>
      <c r="O199" s="47">
        <v>4.0</v>
      </c>
      <c r="P199" s="37"/>
      <c r="Q199" s="42">
        <f t="shared" si="73"/>
        <v>0</v>
      </c>
      <c r="R199" s="42">
        <f t="shared" si="74"/>
        <v>4</v>
      </c>
      <c r="S199" s="42">
        <f t="shared" si="75"/>
        <v>1</v>
      </c>
      <c r="T199" s="42">
        <f t="shared" si="76"/>
        <v>1</v>
      </c>
      <c r="U199" s="42">
        <f t="shared" si="77"/>
        <v>3</v>
      </c>
      <c r="V199" s="42">
        <f t="shared" si="78"/>
        <v>0</v>
      </c>
      <c r="W199" s="42">
        <f t="shared" si="79"/>
        <v>2</v>
      </c>
      <c r="X199" s="42">
        <f t="shared" si="80"/>
        <v>4</v>
      </c>
      <c r="Y199" s="42">
        <f t="shared" si="81"/>
        <v>3</v>
      </c>
      <c r="Z199" s="42">
        <f t="shared" si="82"/>
        <v>1</v>
      </c>
      <c r="AA199" s="52">
        <f t="shared" si="83"/>
        <v>19</v>
      </c>
      <c r="AB199" s="53">
        <f t="shared" si="84"/>
        <v>47.5</v>
      </c>
    </row>
    <row r="200" ht="15.75" customHeight="1">
      <c r="B200" s="43">
        <v>16.0</v>
      </c>
      <c r="C200" s="57" t="s">
        <v>216</v>
      </c>
      <c r="D200" s="43">
        <v>28.0</v>
      </c>
      <c r="E200" s="43" t="s">
        <v>200</v>
      </c>
      <c r="F200" s="47">
        <v>5.0</v>
      </c>
      <c r="G200" s="47">
        <v>3.0</v>
      </c>
      <c r="H200" s="47">
        <v>3.0</v>
      </c>
      <c r="I200" s="47">
        <v>2.0</v>
      </c>
      <c r="J200" s="47">
        <v>5.0</v>
      </c>
      <c r="K200" s="47">
        <v>3.0</v>
      </c>
      <c r="L200" s="47">
        <v>5.0</v>
      </c>
      <c r="M200" s="47">
        <v>2.0</v>
      </c>
      <c r="N200" s="47">
        <v>2.0</v>
      </c>
      <c r="O200" s="47">
        <v>1.0</v>
      </c>
      <c r="P200" s="37"/>
      <c r="Q200" s="42">
        <f t="shared" si="73"/>
        <v>4</v>
      </c>
      <c r="R200" s="42">
        <f t="shared" si="74"/>
        <v>2</v>
      </c>
      <c r="S200" s="42">
        <f t="shared" si="75"/>
        <v>2</v>
      </c>
      <c r="T200" s="42">
        <f t="shared" si="76"/>
        <v>3</v>
      </c>
      <c r="U200" s="42">
        <f t="shared" si="77"/>
        <v>4</v>
      </c>
      <c r="V200" s="42">
        <f t="shared" si="78"/>
        <v>2</v>
      </c>
      <c r="W200" s="42">
        <f t="shared" si="79"/>
        <v>4</v>
      </c>
      <c r="X200" s="42">
        <f t="shared" si="80"/>
        <v>3</v>
      </c>
      <c r="Y200" s="42">
        <f t="shared" si="81"/>
        <v>1</v>
      </c>
      <c r="Z200" s="42">
        <f t="shared" si="82"/>
        <v>4</v>
      </c>
      <c r="AA200" s="52">
        <f t="shared" si="83"/>
        <v>29</v>
      </c>
      <c r="AB200" s="53">
        <f t="shared" si="84"/>
        <v>72.5</v>
      </c>
    </row>
    <row r="201" ht="15.75" customHeight="1">
      <c r="B201" s="43">
        <v>17.0</v>
      </c>
      <c r="C201" s="57" t="s">
        <v>217</v>
      </c>
      <c r="D201" s="43">
        <v>30.0</v>
      </c>
      <c r="E201" s="43" t="s">
        <v>202</v>
      </c>
      <c r="F201" s="47">
        <v>2.0</v>
      </c>
      <c r="G201" s="47">
        <v>5.0</v>
      </c>
      <c r="H201" s="47">
        <v>1.0</v>
      </c>
      <c r="I201" s="47">
        <v>2.0</v>
      </c>
      <c r="J201" s="47">
        <v>1.0</v>
      </c>
      <c r="K201" s="47">
        <v>5.0</v>
      </c>
      <c r="L201" s="47">
        <v>1.0</v>
      </c>
      <c r="M201" s="47">
        <v>5.0</v>
      </c>
      <c r="N201" s="47">
        <v>5.0</v>
      </c>
      <c r="O201" s="47">
        <v>2.0</v>
      </c>
      <c r="P201" s="37"/>
      <c r="Q201" s="42">
        <f t="shared" si="73"/>
        <v>1</v>
      </c>
      <c r="R201" s="42">
        <f t="shared" si="74"/>
        <v>0</v>
      </c>
      <c r="S201" s="42">
        <f t="shared" si="75"/>
        <v>0</v>
      </c>
      <c r="T201" s="42">
        <f t="shared" si="76"/>
        <v>3</v>
      </c>
      <c r="U201" s="42">
        <f t="shared" si="77"/>
        <v>0</v>
      </c>
      <c r="V201" s="42">
        <f t="shared" si="78"/>
        <v>0</v>
      </c>
      <c r="W201" s="42">
        <f t="shared" si="79"/>
        <v>0</v>
      </c>
      <c r="X201" s="42">
        <f t="shared" si="80"/>
        <v>0</v>
      </c>
      <c r="Y201" s="42">
        <f t="shared" si="81"/>
        <v>4</v>
      </c>
      <c r="Z201" s="42">
        <f t="shared" si="82"/>
        <v>3</v>
      </c>
      <c r="AA201" s="52">
        <f t="shared" si="83"/>
        <v>11</v>
      </c>
      <c r="AB201" s="53">
        <f t="shared" si="84"/>
        <v>27.5</v>
      </c>
    </row>
    <row r="202" ht="15.75" customHeight="1">
      <c r="B202" s="43">
        <v>18.0</v>
      </c>
      <c r="C202" s="57" t="s">
        <v>218</v>
      </c>
      <c r="D202" s="43">
        <v>27.0</v>
      </c>
      <c r="E202" s="43" t="s">
        <v>200</v>
      </c>
      <c r="F202" s="47">
        <v>4.0</v>
      </c>
      <c r="G202" s="47">
        <v>1.0</v>
      </c>
      <c r="H202" s="47">
        <v>5.0</v>
      </c>
      <c r="I202" s="47">
        <v>3.0</v>
      </c>
      <c r="J202" s="47">
        <v>4.0</v>
      </c>
      <c r="K202" s="47">
        <v>1.0</v>
      </c>
      <c r="L202" s="47">
        <v>2.0</v>
      </c>
      <c r="M202" s="47">
        <v>4.0</v>
      </c>
      <c r="N202" s="47">
        <v>1.0</v>
      </c>
      <c r="O202" s="47">
        <v>3.0</v>
      </c>
      <c r="P202" s="37"/>
      <c r="Q202" s="42">
        <f t="shared" si="73"/>
        <v>3</v>
      </c>
      <c r="R202" s="42">
        <f t="shared" si="74"/>
        <v>4</v>
      </c>
      <c r="S202" s="42">
        <f t="shared" si="75"/>
        <v>4</v>
      </c>
      <c r="T202" s="42">
        <f t="shared" si="76"/>
        <v>2</v>
      </c>
      <c r="U202" s="42">
        <f t="shared" si="77"/>
        <v>3</v>
      </c>
      <c r="V202" s="42">
        <f t="shared" si="78"/>
        <v>4</v>
      </c>
      <c r="W202" s="42">
        <f t="shared" si="79"/>
        <v>1</v>
      </c>
      <c r="X202" s="42">
        <f t="shared" si="80"/>
        <v>1</v>
      </c>
      <c r="Y202" s="42">
        <f t="shared" si="81"/>
        <v>0</v>
      </c>
      <c r="Z202" s="42">
        <f t="shared" si="82"/>
        <v>2</v>
      </c>
      <c r="AA202" s="52">
        <f t="shared" si="83"/>
        <v>24</v>
      </c>
      <c r="AB202" s="53">
        <f t="shared" si="84"/>
        <v>60</v>
      </c>
    </row>
    <row r="203" ht="15.75" customHeight="1">
      <c r="B203" s="43">
        <v>19.0</v>
      </c>
      <c r="C203" s="57" t="s">
        <v>219</v>
      </c>
      <c r="D203" s="43">
        <v>20.0</v>
      </c>
      <c r="E203" s="43" t="s">
        <v>202</v>
      </c>
      <c r="F203" s="47">
        <v>5.0</v>
      </c>
      <c r="G203" s="47">
        <v>3.0</v>
      </c>
      <c r="H203" s="47">
        <v>1.0</v>
      </c>
      <c r="I203" s="47">
        <v>3.0</v>
      </c>
      <c r="J203" s="47">
        <v>3.0</v>
      </c>
      <c r="K203" s="47">
        <v>2.0</v>
      </c>
      <c r="L203" s="47">
        <v>4.0</v>
      </c>
      <c r="M203" s="47">
        <v>1.0</v>
      </c>
      <c r="N203" s="47">
        <v>1.0</v>
      </c>
      <c r="O203" s="47">
        <v>5.0</v>
      </c>
      <c r="P203" s="37"/>
      <c r="Q203" s="42">
        <f t="shared" si="73"/>
        <v>4</v>
      </c>
      <c r="R203" s="42">
        <f t="shared" si="74"/>
        <v>2</v>
      </c>
      <c r="S203" s="42">
        <f t="shared" si="75"/>
        <v>0</v>
      </c>
      <c r="T203" s="42">
        <f t="shared" si="76"/>
        <v>2</v>
      </c>
      <c r="U203" s="42">
        <f t="shared" si="77"/>
        <v>2</v>
      </c>
      <c r="V203" s="42">
        <f t="shared" si="78"/>
        <v>3</v>
      </c>
      <c r="W203" s="42">
        <f t="shared" si="79"/>
        <v>3</v>
      </c>
      <c r="X203" s="42">
        <f t="shared" si="80"/>
        <v>4</v>
      </c>
      <c r="Y203" s="42">
        <f t="shared" si="81"/>
        <v>0</v>
      </c>
      <c r="Z203" s="42">
        <f t="shared" si="82"/>
        <v>0</v>
      </c>
      <c r="AA203" s="52">
        <f t="shared" si="83"/>
        <v>20</v>
      </c>
      <c r="AB203" s="53">
        <f t="shared" si="84"/>
        <v>50</v>
      </c>
    </row>
    <row r="204" ht="15.75" customHeight="1">
      <c r="B204" s="43">
        <v>20.0</v>
      </c>
      <c r="C204" s="57" t="s">
        <v>220</v>
      </c>
      <c r="D204" s="43">
        <v>29.0</v>
      </c>
      <c r="E204" s="43" t="s">
        <v>200</v>
      </c>
      <c r="F204" s="47">
        <v>4.0</v>
      </c>
      <c r="G204" s="47">
        <v>1.0</v>
      </c>
      <c r="H204" s="47">
        <v>4.0</v>
      </c>
      <c r="I204" s="47">
        <v>2.0</v>
      </c>
      <c r="J204" s="47">
        <v>5.0</v>
      </c>
      <c r="K204" s="47">
        <v>4.0</v>
      </c>
      <c r="L204" s="47">
        <v>1.0</v>
      </c>
      <c r="M204" s="47">
        <v>5.0</v>
      </c>
      <c r="N204" s="47">
        <v>3.0</v>
      </c>
      <c r="O204" s="47">
        <v>4.0</v>
      </c>
      <c r="P204" s="37"/>
      <c r="Q204" s="42">
        <f t="shared" si="73"/>
        <v>3</v>
      </c>
      <c r="R204" s="42">
        <f t="shared" si="74"/>
        <v>4</v>
      </c>
      <c r="S204" s="42">
        <f t="shared" si="75"/>
        <v>3</v>
      </c>
      <c r="T204" s="42">
        <f t="shared" si="76"/>
        <v>3</v>
      </c>
      <c r="U204" s="42">
        <f t="shared" si="77"/>
        <v>4</v>
      </c>
      <c r="V204" s="42">
        <f t="shared" si="78"/>
        <v>1</v>
      </c>
      <c r="W204" s="42">
        <f t="shared" si="79"/>
        <v>0</v>
      </c>
      <c r="X204" s="42">
        <f t="shared" si="80"/>
        <v>0</v>
      </c>
      <c r="Y204" s="42">
        <f t="shared" si="81"/>
        <v>2</v>
      </c>
      <c r="Z204" s="42">
        <f t="shared" si="82"/>
        <v>1</v>
      </c>
      <c r="AA204" s="52">
        <f t="shared" si="83"/>
        <v>21</v>
      </c>
      <c r="AB204" s="53">
        <f t="shared" si="84"/>
        <v>52.5</v>
      </c>
    </row>
    <row r="205" ht="15.75" customHeight="1">
      <c r="B205" s="43">
        <v>21.0</v>
      </c>
      <c r="C205" s="57" t="s">
        <v>221</v>
      </c>
      <c r="D205" s="43">
        <v>20.0</v>
      </c>
      <c r="E205" s="43" t="s">
        <v>234</v>
      </c>
      <c r="F205" s="47">
        <v>4.0</v>
      </c>
      <c r="G205" s="47">
        <v>3.0</v>
      </c>
      <c r="H205" s="47">
        <v>4.0</v>
      </c>
      <c r="I205" s="47">
        <v>3.0</v>
      </c>
      <c r="J205" s="47">
        <v>4.0</v>
      </c>
      <c r="K205" s="47">
        <v>2.0</v>
      </c>
      <c r="L205" s="47">
        <v>4.0</v>
      </c>
      <c r="M205" s="47">
        <v>4.0</v>
      </c>
      <c r="N205" s="47">
        <v>3.0</v>
      </c>
      <c r="O205" s="47">
        <v>4.0</v>
      </c>
      <c r="P205" s="37"/>
      <c r="Q205" s="42">
        <f t="shared" si="73"/>
        <v>3</v>
      </c>
      <c r="R205" s="42">
        <f t="shared" si="74"/>
        <v>2</v>
      </c>
      <c r="S205" s="42">
        <f t="shared" si="75"/>
        <v>3</v>
      </c>
      <c r="T205" s="42">
        <f t="shared" si="76"/>
        <v>2</v>
      </c>
      <c r="U205" s="42">
        <f t="shared" si="77"/>
        <v>3</v>
      </c>
      <c r="V205" s="42">
        <f t="shared" si="78"/>
        <v>3</v>
      </c>
      <c r="W205" s="42">
        <f t="shared" si="79"/>
        <v>3</v>
      </c>
      <c r="X205" s="42">
        <f t="shared" si="80"/>
        <v>1</v>
      </c>
      <c r="Y205" s="42">
        <f t="shared" si="81"/>
        <v>2</v>
      </c>
      <c r="Z205" s="42">
        <f t="shared" si="82"/>
        <v>1</v>
      </c>
      <c r="AA205" s="52">
        <f t="shared" si="83"/>
        <v>23</v>
      </c>
      <c r="AB205" s="53">
        <f t="shared" si="84"/>
        <v>57.5</v>
      </c>
    </row>
    <row r="206" ht="15.75" customHeight="1">
      <c r="B206" s="43">
        <v>22.0</v>
      </c>
      <c r="C206" s="57" t="s">
        <v>222</v>
      </c>
      <c r="D206" s="43">
        <v>18.0</v>
      </c>
      <c r="E206" s="43" t="s">
        <v>200</v>
      </c>
      <c r="F206" s="47">
        <v>2.0</v>
      </c>
      <c r="G206" s="47">
        <v>2.0</v>
      </c>
      <c r="H206" s="47">
        <v>4.0</v>
      </c>
      <c r="I206" s="47">
        <v>2.0</v>
      </c>
      <c r="J206" s="47">
        <v>4.0</v>
      </c>
      <c r="K206" s="47">
        <v>3.0</v>
      </c>
      <c r="L206" s="47">
        <v>4.0</v>
      </c>
      <c r="M206" s="47">
        <v>4.0</v>
      </c>
      <c r="N206" s="47">
        <v>4.0</v>
      </c>
      <c r="O206" s="47">
        <v>3.0</v>
      </c>
      <c r="P206" s="37"/>
      <c r="Q206" s="42">
        <f t="shared" si="73"/>
        <v>1</v>
      </c>
      <c r="R206" s="42">
        <f t="shared" si="74"/>
        <v>3</v>
      </c>
      <c r="S206" s="42">
        <f t="shared" si="75"/>
        <v>3</v>
      </c>
      <c r="T206" s="42">
        <f t="shared" si="76"/>
        <v>3</v>
      </c>
      <c r="U206" s="42">
        <f t="shared" si="77"/>
        <v>3</v>
      </c>
      <c r="V206" s="42">
        <f t="shared" si="78"/>
        <v>2</v>
      </c>
      <c r="W206" s="42">
        <f t="shared" si="79"/>
        <v>3</v>
      </c>
      <c r="X206" s="42">
        <f t="shared" si="80"/>
        <v>1</v>
      </c>
      <c r="Y206" s="42">
        <f t="shared" si="81"/>
        <v>3</v>
      </c>
      <c r="Z206" s="42">
        <f t="shared" si="82"/>
        <v>2</v>
      </c>
      <c r="AA206" s="52">
        <f t="shared" si="83"/>
        <v>24</v>
      </c>
      <c r="AB206" s="53">
        <f t="shared" si="84"/>
        <v>60</v>
      </c>
    </row>
    <row r="207" ht="15.75" customHeight="1">
      <c r="B207" s="43">
        <v>23.0</v>
      </c>
      <c r="C207" s="57" t="s">
        <v>223</v>
      </c>
      <c r="D207" s="43">
        <v>20.0</v>
      </c>
      <c r="E207" s="43" t="s">
        <v>200</v>
      </c>
      <c r="F207" s="47">
        <v>1.0</v>
      </c>
      <c r="G207" s="47">
        <v>1.0</v>
      </c>
      <c r="H207" s="47">
        <v>5.0</v>
      </c>
      <c r="I207" s="47">
        <v>2.0</v>
      </c>
      <c r="J207" s="47">
        <v>3.0</v>
      </c>
      <c r="K207" s="47">
        <v>1.0</v>
      </c>
      <c r="L207" s="47">
        <v>5.0</v>
      </c>
      <c r="M207" s="47">
        <v>5.0</v>
      </c>
      <c r="N207" s="47">
        <v>5.0</v>
      </c>
      <c r="O207" s="47">
        <v>5.0</v>
      </c>
      <c r="P207" s="37"/>
      <c r="Q207" s="42">
        <f t="shared" si="73"/>
        <v>0</v>
      </c>
      <c r="R207" s="42">
        <f t="shared" si="74"/>
        <v>4</v>
      </c>
      <c r="S207" s="42">
        <f t="shared" si="75"/>
        <v>4</v>
      </c>
      <c r="T207" s="42">
        <f t="shared" si="76"/>
        <v>3</v>
      </c>
      <c r="U207" s="42">
        <f t="shared" si="77"/>
        <v>2</v>
      </c>
      <c r="V207" s="42">
        <f t="shared" si="78"/>
        <v>4</v>
      </c>
      <c r="W207" s="42">
        <f t="shared" si="79"/>
        <v>4</v>
      </c>
      <c r="X207" s="42">
        <f t="shared" si="80"/>
        <v>0</v>
      </c>
      <c r="Y207" s="42">
        <f t="shared" si="81"/>
        <v>4</v>
      </c>
      <c r="Z207" s="42">
        <f t="shared" si="82"/>
        <v>0</v>
      </c>
      <c r="AA207" s="52">
        <f t="shared" si="83"/>
        <v>25</v>
      </c>
      <c r="AB207" s="53">
        <f t="shared" si="84"/>
        <v>62.5</v>
      </c>
    </row>
    <row r="208" ht="15.75" customHeight="1">
      <c r="B208" s="43">
        <v>24.0</v>
      </c>
      <c r="C208" s="57" t="s">
        <v>224</v>
      </c>
      <c r="D208" s="43">
        <v>18.0</v>
      </c>
      <c r="E208" s="43" t="s">
        <v>234</v>
      </c>
      <c r="F208" s="47">
        <v>3.0</v>
      </c>
      <c r="G208" s="47">
        <v>2.0</v>
      </c>
      <c r="H208" s="47">
        <v>5.0</v>
      </c>
      <c r="I208" s="47">
        <v>3.0</v>
      </c>
      <c r="J208" s="47">
        <v>4.0</v>
      </c>
      <c r="K208" s="47">
        <v>2.0</v>
      </c>
      <c r="L208" s="47">
        <v>4.0</v>
      </c>
      <c r="M208" s="47">
        <v>5.0</v>
      </c>
      <c r="N208" s="47">
        <v>5.0</v>
      </c>
      <c r="O208" s="47">
        <v>5.0</v>
      </c>
      <c r="P208" s="37"/>
      <c r="Q208" s="42">
        <f t="shared" si="73"/>
        <v>2</v>
      </c>
      <c r="R208" s="42">
        <f t="shared" si="74"/>
        <v>3</v>
      </c>
      <c r="S208" s="42">
        <f t="shared" si="75"/>
        <v>4</v>
      </c>
      <c r="T208" s="42">
        <f t="shared" si="76"/>
        <v>2</v>
      </c>
      <c r="U208" s="42">
        <f t="shared" si="77"/>
        <v>3</v>
      </c>
      <c r="V208" s="42">
        <f t="shared" si="78"/>
        <v>3</v>
      </c>
      <c r="W208" s="42">
        <f t="shared" si="79"/>
        <v>3</v>
      </c>
      <c r="X208" s="42">
        <f t="shared" si="80"/>
        <v>0</v>
      </c>
      <c r="Y208" s="42">
        <f t="shared" si="81"/>
        <v>4</v>
      </c>
      <c r="Z208" s="42">
        <f t="shared" si="82"/>
        <v>0</v>
      </c>
      <c r="AA208" s="52">
        <f t="shared" si="83"/>
        <v>24</v>
      </c>
      <c r="AB208" s="53">
        <f t="shared" si="84"/>
        <v>60</v>
      </c>
    </row>
    <row r="209" ht="15.75" customHeight="1">
      <c r="B209" s="43">
        <v>25.0</v>
      </c>
      <c r="C209" s="57" t="s">
        <v>225</v>
      </c>
      <c r="D209" s="43">
        <v>16.0</v>
      </c>
      <c r="E209" s="43" t="s">
        <v>234</v>
      </c>
      <c r="F209" s="47">
        <v>2.0</v>
      </c>
      <c r="G209" s="47">
        <v>3.0</v>
      </c>
      <c r="H209" s="47">
        <v>1.0</v>
      </c>
      <c r="I209" s="47">
        <v>1.0</v>
      </c>
      <c r="J209" s="47">
        <v>3.0</v>
      </c>
      <c r="K209" s="47">
        <v>4.0</v>
      </c>
      <c r="L209" s="47">
        <v>4.0</v>
      </c>
      <c r="M209" s="47">
        <v>3.0</v>
      </c>
      <c r="N209" s="47">
        <v>1.0</v>
      </c>
      <c r="O209" s="47">
        <v>5.0</v>
      </c>
      <c r="P209" s="37"/>
      <c r="Q209" s="42">
        <f t="shared" si="73"/>
        <v>1</v>
      </c>
      <c r="R209" s="42">
        <f t="shared" si="74"/>
        <v>2</v>
      </c>
      <c r="S209" s="42">
        <f t="shared" si="75"/>
        <v>0</v>
      </c>
      <c r="T209" s="42">
        <f t="shared" si="76"/>
        <v>4</v>
      </c>
      <c r="U209" s="42">
        <f t="shared" si="77"/>
        <v>2</v>
      </c>
      <c r="V209" s="42">
        <f t="shared" si="78"/>
        <v>1</v>
      </c>
      <c r="W209" s="42">
        <f t="shared" si="79"/>
        <v>3</v>
      </c>
      <c r="X209" s="42">
        <f t="shared" si="80"/>
        <v>2</v>
      </c>
      <c r="Y209" s="42">
        <f t="shared" si="81"/>
        <v>0</v>
      </c>
      <c r="Z209" s="42">
        <f t="shared" si="82"/>
        <v>0</v>
      </c>
      <c r="AA209" s="52">
        <f t="shared" si="83"/>
        <v>15</v>
      </c>
      <c r="AB209" s="53">
        <f t="shared" si="84"/>
        <v>37.5</v>
      </c>
    </row>
    <row r="210" ht="15.75" customHeight="1">
      <c r="B210" s="54"/>
      <c r="C210" s="41" t="s">
        <v>226</v>
      </c>
      <c r="D210" s="55">
        <f>AVERAGE(D185:D209)</f>
        <v>21.36</v>
      </c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37"/>
      <c r="Q210" s="38" t="s">
        <v>227</v>
      </c>
      <c r="R210" s="35"/>
      <c r="S210" s="35"/>
      <c r="T210" s="35"/>
      <c r="U210" s="35"/>
      <c r="V210" s="35"/>
      <c r="W210" s="35"/>
      <c r="X210" s="35"/>
      <c r="Y210" s="35"/>
      <c r="Z210" s="35"/>
      <c r="AA210" s="36"/>
      <c r="AB210" s="56">
        <f>AVERAGE(AB185:AB209)</f>
        <v>54</v>
      </c>
    </row>
    <row r="211" ht="15.75" customHeight="1"/>
    <row r="212" ht="33.75" customHeight="1">
      <c r="A212" s="32" t="s">
        <v>235</v>
      </c>
    </row>
    <row r="213" ht="15.75" customHeight="1">
      <c r="B213" s="33" t="s">
        <v>181</v>
      </c>
      <c r="C213" s="33" t="s">
        <v>182</v>
      </c>
      <c r="D213" s="33" t="s">
        <v>183</v>
      </c>
      <c r="E213" s="33" t="s">
        <v>184</v>
      </c>
      <c r="F213" s="34" t="s">
        <v>185</v>
      </c>
      <c r="G213" s="35"/>
      <c r="H213" s="35"/>
      <c r="I213" s="35"/>
      <c r="J213" s="35"/>
      <c r="K213" s="35"/>
      <c r="L213" s="35"/>
      <c r="M213" s="35"/>
      <c r="N213" s="35"/>
      <c r="O213" s="36"/>
      <c r="P213" s="37"/>
      <c r="Q213" s="38" t="s">
        <v>186</v>
      </c>
      <c r="R213" s="35"/>
      <c r="S213" s="35"/>
      <c r="T213" s="35"/>
      <c r="U213" s="35"/>
      <c r="V213" s="35"/>
      <c r="W213" s="35"/>
      <c r="X213" s="35"/>
      <c r="Y213" s="35"/>
      <c r="Z213" s="36"/>
      <c r="AA213" s="33" t="s">
        <v>187</v>
      </c>
      <c r="AB213" s="39" t="s">
        <v>188</v>
      </c>
    </row>
    <row r="214" ht="15.75" customHeight="1">
      <c r="B214" s="40"/>
      <c r="C214" s="40"/>
      <c r="D214" s="40"/>
      <c r="E214" s="40"/>
      <c r="F214" s="41" t="s">
        <v>189</v>
      </c>
      <c r="G214" s="41" t="s">
        <v>190</v>
      </c>
      <c r="H214" s="41" t="s">
        <v>191</v>
      </c>
      <c r="I214" s="41" t="s">
        <v>192</v>
      </c>
      <c r="J214" s="41" t="s">
        <v>193</v>
      </c>
      <c r="K214" s="41" t="s">
        <v>194</v>
      </c>
      <c r="L214" s="41" t="s">
        <v>195</v>
      </c>
      <c r="M214" s="41" t="s">
        <v>196</v>
      </c>
      <c r="N214" s="41" t="s">
        <v>197</v>
      </c>
      <c r="O214" s="41" t="s">
        <v>198</v>
      </c>
      <c r="P214" s="37"/>
      <c r="Q214" s="42" t="s">
        <v>189</v>
      </c>
      <c r="R214" s="42" t="s">
        <v>190</v>
      </c>
      <c r="S214" s="42" t="s">
        <v>191</v>
      </c>
      <c r="T214" s="42" t="s">
        <v>192</v>
      </c>
      <c r="U214" s="42" t="s">
        <v>193</v>
      </c>
      <c r="V214" s="42" t="s">
        <v>194</v>
      </c>
      <c r="W214" s="42" t="s">
        <v>195</v>
      </c>
      <c r="X214" s="42" t="s">
        <v>196</v>
      </c>
      <c r="Y214" s="42" t="s">
        <v>197</v>
      </c>
      <c r="Z214" s="42" t="s">
        <v>198</v>
      </c>
      <c r="AA214" s="40"/>
      <c r="AB214" s="40"/>
    </row>
    <row r="215" ht="15.75" customHeight="1">
      <c r="B215" s="43">
        <v>1.0</v>
      </c>
      <c r="C215" s="57" t="s">
        <v>199</v>
      </c>
      <c r="D215" s="43">
        <v>19.0</v>
      </c>
      <c r="E215" s="43" t="s">
        <v>234</v>
      </c>
      <c r="F215" s="47">
        <v>4.0</v>
      </c>
      <c r="G215" s="47">
        <v>5.0</v>
      </c>
      <c r="H215" s="47">
        <v>4.0</v>
      </c>
      <c r="I215" s="47">
        <v>5.0</v>
      </c>
      <c r="J215" s="47">
        <v>4.0</v>
      </c>
      <c r="K215" s="47">
        <v>5.0</v>
      </c>
      <c r="L215" s="47">
        <v>5.0</v>
      </c>
      <c r="M215" s="47">
        <v>5.0</v>
      </c>
      <c r="N215" s="47">
        <v>5.0</v>
      </c>
      <c r="O215" s="47">
        <v>4.0</v>
      </c>
      <c r="P215" s="37"/>
      <c r="Q215" s="51">
        <f t="shared" ref="Q215:Q239" si="85">F215-1</f>
        <v>3</v>
      </c>
      <c r="R215" s="51">
        <f t="shared" ref="R215:R239" si="86">5-G215</f>
        <v>0</v>
      </c>
      <c r="S215" s="51">
        <f t="shared" ref="S215:S239" si="87">H215-1</f>
        <v>3</v>
      </c>
      <c r="T215" s="51">
        <f t="shared" ref="T215:T239" si="88">5-I215</f>
        <v>0</v>
      </c>
      <c r="U215" s="51">
        <f t="shared" ref="U215:U239" si="89">J215-1</f>
        <v>3</v>
      </c>
      <c r="V215" s="51">
        <f t="shared" ref="V215:V239" si="90">5-K215</f>
        <v>0</v>
      </c>
      <c r="W215" s="51">
        <f t="shared" ref="W215:W239" si="91">L215-1</f>
        <v>4</v>
      </c>
      <c r="X215" s="51">
        <f t="shared" ref="X215:X239" si="92">5-M215</f>
        <v>0</v>
      </c>
      <c r="Y215" s="51">
        <f t="shared" ref="Y215:Y239" si="93">N215-1</f>
        <v>4</v>
      </c>
      <c r="Z215" s="51">
        <f t="shared" ref="Z215:Z239" si="94">5-O215</f>
        <v>1</v>
      </c>
      <c r="AA215" s="52">
        <f t="shared" ref="AA215:AA239" si="95">SUM(Q215:Z215)</f>
        <v>18</v>
      </c>
      <c r="AB215" s="53">
        <f t="shared" ref="AB215:AB239" si="96">AA215*2.5</f>
        <v>45</v>
      </c>
    </row>
    <row r="216" ht="15.75" customHeight="1">
      <c r="B216" s="43">
        <v>2.0</v>
      </c>
      <c r="C216" s="57" t="s">
        <v>201</v>
      </c>
      <c r="D216" s="43">
        <v>20.0</v>
      </c>
      <c r="E216" s="43" t="s">
        <v>234</v>
      </c>
      <c r="F216" s="47">
        <v>1.0</v>
      </c>
      <c r="G216" s="47">
        <v>1.0</v>
      </c>
      <c r="H216" s="47">
        <v>1.0</v>
      </c>
      <c r="I216" s="47">
        <v>1.0</v>
      </c>
      <c r="J216" s="47">
        <v>4.0</v>
      </c>
      <c r="K216" s="47">
        <v>1.0</v>
      </c>
      <c r="L216" s="47">
        <v>2.0</v>
      </c>
      <c r="M216" s="47">
        <v>5.0</v>
      </c>
      <c r="N216" s="47">
        <v>1.0</v>
      </c>
      <c r="O216" s="47">
        <v>5.0</v>
      </c>
      <c r="P216" s="37"/>
      <c r="Q216" s="42">
        <f t="shared" si="85"/>
        <v>0</v>
      </c>
      <c r="R216" s="42">
        <f t="shared" si="86"/>
        <v>4</v>
      </c>
      <c r="S216" s="42">
        <f t="shared" si="87"/>
        <v>0</v>
      </c>
      <c r="T216" s="42">
        <f t="shared" si="88"/>
        <v>4</v>
      </c>
      <c r="U216" s="42">
        <f t="shared" si="89"/>
        <v>3</v>
      </c>
      <c r="V216" s="42">
        <f t="shared" si="90"/>
        <v>4</v>
      </c>
      <c r="W216" s="42">
        <f t="shared" si="91"/>
        <v>1</v>
      </c>
      <c r="X216" s="42">
        <f t="shared" si="92"/>
        <v>0</v>
      </c>
      <c r="Y216" s="42">
        <f t="shared" si="93"/>
        <v>0</v>
      </c>
      <c r="Z216" s="42">
        <f t="shared" si="94"/>
        <v>0</v>
      </c>
      <c r="AA216" s="52">
        <f t="shared" si="95"/>
        <v>16</v>
      </c>
      <c r="AB216" s="53">
        <f t="shared" si="96"/>
        <v>40</v>
      </c>
    </row>
    <row r="217" ht="15.75" customHeight="1">
      <c r="B217" s="43">
        <v>3.0</v>
      </c>
      <c r="C217" s="57" t="s">
        <v>203</v>
      </c>
      <c r="D217" s="43">
        <v>20.0</v>
      </c>
      <c r="E217" s="43" t="s">
        <v>234</v>
      </c>
      <c r="F217" s="47">
        <v>1.0</v>
      </c>
      <c r="G217" s="47">
        <v>1.0</v>
      </c>
      <c r="H217" s="47">
        <v>1.0</v>
      </c>
      <c r="I217" s="47">
        <v>1.0</v>
      </c>
      <c r="J217" s="47">
        <v>4.0</v>
      </c>
      <c r="K217" s="47">
        <v>1.0</v>
      </c>
      <c r="L217" s="47">
        <v>2.0</v>
      </c>
      <c r="M217" s="47">
        <v>5.0</v>
      </c>
      <c r="N217" s="47">
        <v>1.0</v>
      </c>
      <c r="O217" s="47">
        <v>5.0</v>
      </c>
      <c r="P217" s="37"/>
      <c r="Q217" s="42">
        <f t="shared" si="85"/>
        <v>0</v>
      </c>
      <c r="R217" s="42">
        <f t="shared" si="86"/>
        <v>4</v>
      </c>
      <c r="S217" s="42">
        <f t="shared" si="87"/>
        <v>0</v>
      </c>
      <c r="T217" s="42">
        <f t="shared" si="88"/>
        <v>4</v>
      </c>
      <c r="U217" s="42">
        <f t="shared" si="89"/>
        <v>3</v>
      </c>
      <c r="V217" s="42">
        <f t="shared" si="90"/>
        <v>4</v>
      </c>
      <c r="W217" s="42">
        <f t="shared" si="91"/>
        <v>1</v>
      </c>
      <c r="X217" s="42">
        <f t="shared" si="92"/>
        <v>0</v>
      </c>
      <c r="Y217" s="42">
        <f t="shared" si="93"/>
        <v>0</v>
      </c>
      <c r="Z217" s="42">
        <f t="shared" si="94"/>
        <v>0</v>
      </c>
      <c r="AA217" s="52">
        <f t="shared" si="95"/>
        <v>16</v>
      </c>
      <c r="AB217" s="53">
        <f t="shared" si="96"/>
        <v>40</v>
      </c>
    </row>
    <row r="218" ht="15.75" customHeight="1">
      <c r="B218" s="43">
        <v>4.0</v>
      </c>
      <c r="C218" s="57" t="s">
        <v>204</v>
      </c>
      <c r="D218" s="43">
        <v>20.0</v>
      </c>
      <c r="E218" s="43" t="s">
        <v>234</v>
      </c>
      <c r="F218" s="47">
        <v>1.0</v>
      </c>
      <c r="G218" s="47">
        <v>2.0</v>
      </c>
      <c r="H218" s="47">
        <v>1.0</v>
      </c>
      <c r="I218" s="47">
        <v>4.0</v>
      </c>
      <c r="J218" s="47">
        <v>1.0</v>
      </c>
      <c r="K218" s="47">
        <v>2.0</v>
      </c>
      <c r="L218" s="47">
        <v>3.0</v>
      </c>
      <c r="M218" s="47">
        <v>1.0</v>
      </c>
      <c r="N218" s="47">
        <v>5.0</v>
      </c>
      <c r="O218" s="47">
        <v>1.0</v>
      </c>
      <c r="P218" s="37"/>
      <c r="Q218" s="42">
        <f t="shared" si="85"/>
        <v>0</v>
      </c>
      <c r="R218" s="42">
        <f t="shared" si="86"/>
        <v>3</v>
      </c>
      <c r="S218" s="42">
        <f t="shared" si="87"/>
        <v>0</v>
      </c>
      <c r="T218" s="42">
        <f t="shared" si="88"/>
        <v>1</v>
      </c>
      <c r="U218" s="42">
        <f t="shared" si="89"/>
        <v>0</v>
      </c>
      <c r="V218" s="42">
        <f t="shared" si="90"/>
        <v>3</v>
      </c>
      <c r="W218" s="42">
        <f t="shared" si="91"/>
        <v>2</v>
      </c>
      <c r="X218" s="42">
        <f t="shared" si="92"/>
        <v>4</v>
      </c>
      <c r="Y218" s="42">
        <f t="shared" si="93"/>
        <v>4</v>
      </c>
      <c r="Z218" s="42">
        <f t="shared" si="94"/>
        <v>4</v>
      </c>
      <c r="AA218" s="52">
        <f t="shared" si="95"/>
        <v>21</v>
      </c>
      <c r="AB218" s="53">
        <f t="shared" si="96"/>
        <v>52.5</v>
      </c>
    </row>
    <row r="219" ht="15.75" customHeight="1">
      <c r="B219" s="43">
        <v>5.0</v>
      </c>
      <c r="C219" s="57" t="s">
        <v>205</v>
      </c>
      <c r="D219" s="43">
        <v>19.0</v>
      </c>
      <c r="E219" s="43" t="s">
        <v>234</v>
      </c>
      <c r="F219" s="47">
        <v>1.0</v>
      </c>
      <c r="G219" s="47">
        <v>1.0</v>
      </c>
      <c r="H219" s="47">
        <v>4.0</v>
      </c>
      <c r="I219" s="47">
        <v>2.0</v>
      </c>
      <c r="J219" s="47">
        <v>4.0</v>
      </c>
      <c r="K219" s="47">
        <v>4.0</v>
      </c>
      <c r="L219" s="47">
        <v>5.0</v>
      </c>
      <c r="M219" s="47">
        <v>4.0</v>
      </c>
      <c r="N219" s="47">
        <v>4.0</v>
      </c>
      <c r="O219" s="47">
        <v>4.0</v>
      </c>
      <c r="P219" s="37"/>
      <c r="Q219" s="42">
        <f t="shared" si="85"/>
        <v>0</v>
      </c>
      <c r="R219" s="42">
        <f t="shared" si="86"/>
        <v>4</v>
      </c>
      <c r="S219" s="42">
        <f t="shared" si="87"/>
        <v>3</v>
      </c>
      <c r="T219" s="42">
        <f t="shared" si="88"/>
        <v>3</v>
      </c>
      <c r="U219" s="42">
        <f t="shared" si="89"/>
        <v>3</v>
      </c>
      <c r="V219" s="42">
        <f t="shared" si="90"/>
        <v>1</v>
      </c>
      <c r="W219" s="42">
        <f t="shared" si="91"/>
        <v>4</v>
      </c>
      <c r="X219" s="42">
        <f t="shared" si="92"/>
        <v>1</v>
      </c>
      <c r="Y219" s="42">
        <f t="shared" si="93"/>
        <v>3</v>
      </c>
      <c r="Z219" s="42">
        <f t="shared" si="94"/>
        <v>1</v>
      </c>
      <c r="AA219" s="52">
        <f t="shared" si="95"/>
        <v>23</v>
      </c>
      <c r="AB219" s="53">
        <f t="shared" si="96"/>
        <v>57.5</v>
      </c>
    </row>
    <row r="220" ht="15.75" customHeight="1">
      <c r="B220" s="43">
        <v>6.0</v>
      </c>
      <c r="C220" s="57" t="s">
        <v>206</v>
      </c>
      <c r="D220" s="43">
        <v>20.0</v>
      </c>
      <c r="E220" s="43" t="s">
        <v>234</v>
      </c>
      <c r="F220" s="47">
        <v>2.0</v>
      </c>
      <c r="G220" s="47">
        <v>2.0</v>
      </c>
      <c r="H220" s="47">
        <v>4.0</v>
      </c>
      <c r="I220" s="47">
        <v>3.0</v>
      </c>
      <c r="J220" s="47">
        <v>4.0</v>
      </c>
      <c r="K220" s="47">
        <v>2.0</v>
      </c>
      <c r="L220" s="47">
        <v>4.0</v>
      </c>
      <c r="M220" s="47">
        <v>4.0</v>
      </c>
      <c r="N220" s="47">
        <v>4.0</v>
      </c>
      <c r="O220" s="47">
        <v>4.0</v>
      </c>
      <c r="P220" s="37"/>
      <c r="Q220" s="42">
        <f t="shared" si="85"/>
        <v>1</v>
      </c>
      <c r="R220" s="42">
        <f t="shared" si="86"/>
        <v>3</v>
      </c>
      <c r="S220" s="42">
        <f t="shared" si="87"/>
        <v>3</v>
      </c>
      <c r="T220" s="42">
        <f t="shared" si="88"/>
        <v>2</v>
      </c>
      <c r="U220" s="42">
        <f t="shared" si="89"/>
        <v>3</v>
      </c>
      <c r="V220" s="42">
        <f t="shared" si="90"/>
        <v>3</v>
      </c>
      <c r="W220" s="42">
        <f t="shared" si="91"/>
        <v>3</v>
      </c>
      <c r="X220" s="42">
        <f t="shared" si="92"/>
        <v>1</v>
      </c>
      <c r="Y220" s="42">
        <f t="shared" si="93"/>
        <v>3</v>
      </c>
      <c r="Z220" s="42">
        <f t="shared" si="94"/>
        <v>1</v>
      </c>
      <c r="AA220" s="52">
        <f t="shared" si="95"/>
        <v>23</v>
      </c>
      <c r="AB220" s="53">
        <f t="shared" si="96"/>
        <v>57.5</v>
      </c>
    </row>
    <row r="221" ht="15.75" customHeight="1">
      <c r="B221" s="43">
        <v>7.0</v>
      </c>
      <c r="C221" s="57" t="s">
        <v>207</v>
      </c>
      <c r="D221" s="43">
        <v>20.0</v>
      </c>
      <c r="E221" s="43" t="s">
        <v>200</v>
      </c>
      <c r="F221" s="47">
        <v>4.0</v>
      </c>
      <c r="G221" s="47">
        <v>4.0</v>
      </c>
      <c r="H221" s="47">
        <v>3.0</v>
      </c>
      <c r="I221" s="47">
        <v>2.0</v>
      </c>
      <c r="J221" s="47">
        <v>4.0</v>
      </c>
      <c r="K221" s="47">
        <v>5.0</v>
      </c>
      <c r="L221" s="47">
        <v>4.0</v>
      </c>
      <c r="M221" s="47">
        <v>5.0</v>
      </c>
      <c r="N221" s="47">
        <v>4.0</v>
      </c>
      <c r="O221" s="47">
        <v>5.0</v>
      </c>
      <c r="P221" s="37"/>
      <c r="Q221" s="42">
        <f t="shared" si="85"/>
        <v>3</v>
      </c>
      <c r="R221" s="42">
        <f t="shared" si="86"/>
        <v>1</v>
      </c>
      <c r="S221" s="42">
        <f t="shared" si="87"/>
        <v>2</v>
      </c>
      <c r="T221" s="42">
        <f t="shared" si="88"/>
        <v>3</v>
      </c>
      <c r="U221" s="42">
        <f t="shared" si="89"/>
        <v>3</v>
      </c>
      <c r="V221" s="42">
        <f t="shared" si="90"/>
        <v>0</v>
      </c>
      <c r="W221" s="42">
        <f t="shared" si="91"/>
        <v>3</v>
      </c>
      <c r="X221" s="42">
        <f t="shared" si="92"/>
        <v>0</v>
      </c>
      <c r="Y221" s="42">
        <f t="shared" si="93"/>
        <v>3</v>
      </c>
      <c r="Z221" s="42">
        <f t="shared" si="94"/>
        <v>0</v>
      </c>
      <c r="AA221" s="52">
        <f t="shared" si="95"/>
        <v>18</v>
      </c>
      <c r="AB221" s="53">
        <f t="shared" si="96"/>
        <v>45</v>
      </c>
    </row>
    <row r="222" ht="15.75" customHeight="1">
      <c r="B222" s="43">
        <v>8.0</v>
      </c>
      <c r="C222" s="57" t="s">
        <v>208</v>
      </c>
      <c r="D222" s="43">
        <v>25.0</v>
      </c>
      <c r="E222" s="43" t="s">
        <v>202</v>
      </c>
      <c r="F222" s="47">
        <v>5.0</v>
      </c>
      <c r="G222" s="47">
        <v>4.0</v>
      </c>
      <c r="H222" s="47">
        <v>2.0</v>
      </c>
      <c r="I222" s="47">
        <v>1.0</v>
      </c>
      <c r="J222" s="47">
        <v>3.0</v>
      </c>
      <c r="K222" s="47">
        <v>5.0</v>
      </c>
      <c r="L222" s="47">
        <v>2.0</v>
      </c>
      <c r="M222" s="47">
        <v>4.0</v>
      </c>
      <c r="N222" s="47">
        <v>3.0</v>
      </c>
      <c r="O222" s="47">
        <v>1.0</v>
      </c>
      <c r="P222" s="37"/>
      <c r="Q222" s="42">
        <f t="shared" si="85"/>
        <v>4</v>
      </c>
      <c r="R222" s="42">
        <f t="shared" si="86"/>
        <v>1</v>
      </c>
      <c r="S222" s="42">
        <f t="shared" si="87"/>
        <v>1</v>
      </c>
      <c r="T222" s="42">
        <f t="shared" si="88"/>
        <v>4</v>
      </c>
      <c r="U222" s="42">
        <f t="shared" si="89"/>
        <v>2</v>
      </c>
      <c r="V222" s="42">
        <f t="shared" si="90"/>
        <v>0</v>
      </c>
      <c r="W222" s="42">
        <f t="shared" si="91"/>
        <v>1</v>
      </c>
      <c r="X222" s="42">
        <f t="shared" si="92"/>
        <v>1</v>
      </c>
      <c r="Y222" s="42">
        <f t="shared" si="93"/>
        <v>2</v>
      </c>
      <c r="Z222" s="42">
        <f t="shared" si="94"/>
        <v>4</v>
      </c>
      <c r="AA222" s="52">
        <f t="shared" si="95"/>
        <v>20</v>
      </c>
      <c r="AB222" s="53">
        <f t="shared" si="96"/>
        <v>50</v>
      </c>
    </row>
    <row r="223" ht="15.75" customHeight="1">
      <c r="B223" s="43">
        <v>9.0</v>
      </c>
      <c r="C223" s="57" t="s">
        <v>209</v>
      </c>
      <c r="D223" s="43">
        <v>19.0</v>
      </c>
      <c r="E223" s="43" t="s">
        <v>200</v>
      </c>
      <c r="F223" s="47">
        <v>3.0</v>
      </c>
      <c r="G223" s="47">
        <v>1.0</v>
      </c>
      <c r="H223" s="47">
        <v>3.0</v>
      </c>
      <c r="I223" s="47">
        <v>2.0</v>
      </c>
      <c r="J223" s="47">
        <v>4.0</v>
      </c>
      <c r="K223" s="47">
        <v>1.0</v>
      </c>
      <c r="L223" s="47">
        <v>3.0</v>
      </c>
      <c r="M223" s="47">
        <v>5.0</v>
      </c>
      <c r="N223" s="47">
        <v>1.0</v>
      </c>
      <c r="O223" s="47">
        <v>4.0</v>
      </c>
      <c r="P223" s="37"/>
      <c r="Q223" s="42">
        <f t="shared" si="85"/>
        <v>2</v>
      </c>
      <c r="R223" s="42">
        <f t="shared" si="86"/>
        <v>4</v>
      </c>
      <c r="S223" s="42">
        <f t="shared" si="87"/>
        <v>2</v>
      </c>
      <c r="T223" s="42">
        <f t="shared" si="88"/>
        <v>3</v>
      </c>
      <c r="U223" s="42">
        <f t="shared" si="89"/>
        <v>3</v>
      </c>
      <c r="V223" s="42">
        <f t="shared" si="90"/>
        <v>4</v>
      </c>
      <c r="W223" s="42">
        <f t="shared" si="91"/>
        <v>2</v>
      </c>
      <c r="X223" s="42">
        <f t="shared" si="92"/>
        <v>0</v>
      </c>
      <c r="Y223" s="42">
        <f t="shared" si="93"/>
        <v>0</v>
      </c>
      <c r="Z223" s="42">
        <f t="shared" si="94"/>
        <v>1</v>
      </c>
      <c r="AA223" s="52">
        <f t="shared" si="95"/>
        <v>21</v>
      </c>
      <c r="AB223" s="53">
        <f t="shared" si="96"/>
        <v>52.5</v>
      </c>
    </row>
    <row r="224" ht="15.75" customHeight="1">
      <c r="B224" s="43">
        <v>10.0</v>
      </c>
      <c r="C224" s="57" t="s">
        <v>210</v>
      </c>
      <c r="D224" s="43">
        <v>32.0</v>
      </c>
      <c r="E224" s="43" t="s">
        <v>202</v>
      </c>
      <c r="F224" s="47">
        <v>4.0</v>
      </c>
      <c r="G224" s="47">
        <v>2.0</v>
      </c>
      <c r="H224" s="47">
        <v>5.0</v>
      </c>
      <c r="I224" s="47">
        <v>3.0</v>
      </c>
      <c r="J224" s="47">
        <v>1.0</v>
      </c>
      <c r="K224" s="47">
        <v>2.0</v>
      </c>
      <c r="L224" s="47">
        <v>5.0</v>
      </c>
      <c r="M224" s="47">
        <v>1.0</v>
      </c>
      <c r="N224" s="47">
        <v>2.0</v>
      </c>
      <c r="O224" s="47">
        <v>3.0</v>
      </c>
      <c r="P224" s="37"/>
      <c r="Q224" s="42">
        <f t="shared" si="85"/>
        <v>3</v>
      </c>
      <c r="R224" s="42">
        <f t="shared" si="86"/>
        <v>3</v>
      </c>
      <c r="S224" s="42">
        <f t="shared" si="87"/>
        <v>4</v>
      </c>
      <c r="T224" s="42">
        <f t="shared" si="88"/>
        <v>2</v>
      </c>
      <c r="U224" s="42">
        <f t="shared" si="89"/>
        <v>0</v>
      </c>
      <c r="V224" s="42">
        <f t="shared" si="90"/>
        <v>3</v>
      </c>
      <c r="W224" s="42">
        <f t="shared" si="91"/>
        <v>4</v>
      </c>
      <c r="X224" s="42">
        <f t="shared" si="92"/>
        <v>4</v>
      </c>
      <c r="Y224" s="42">
        <f t="shared" si="93"/>
        <v>1</v>
      </c>
      <c r="Z224" s="42">
        <f t="shared" si="94"/>
        <v>2</v>
      </c>
      <c r="AA224" s="52">
        <f t="shared" si="95"/>
        <v>26</v>
      </c>
      <c r="AB224" s="53">
        <f t="shared" si="96"/>
        <v>65</v>
      </c>
    </row>
    <row r="225" ht="15.75" customHeight="1">
      <c r="B225" s="43">
        <v>11.0</v>
      </c>
      <c r="C225" s="57" t="s">
        <v>211</v>
      </c>
      <c r="D225" s="43">
        <v>17.0</v>
      </c>
      <c r="E225" s="43" t="s">
        <v>200</v>
      </c>
      <c r="F225" s="47">
        <v>2.0</v>
      </c>
      <c r="G225" s="47">
        <v>3.0</v>
      </c>
      <c r="H225" s="47">
        <v>1.0</v>
      </c>
      <c r="I225" s="47">
        <v>4.0</v>
      </c>
      <c r="J225" s="47">
        <v>5.0</v>
      </c>
      <c r="K225" s="47">
        <v>3.0</v>
      </c>
      <c r="L225" s="47">
        <v>4.0</v>
      </c>
      <c r="M225" s="47">
        <v>2.0</v>
      </c>
      <c r="N225" s="47">
        <v>3.0</v>
      </c>
      <c r="O225" s="47">
        <v>5.0</v>
      </c>
      <c r="P225" s="37"/>
      <c r="Q225" s="42">
        <f t="shared" si="85"/>
        <v>1</v>
      </c>
      <c r="R225" s="42">
        <f t="shared" si="86"/>
        <v>2</v>
      </c>
      <c r="S225" s="42">
        <f t="shared" si="87"/>
        <v>0</v>
      </c>
      <c r="T225" s="42">
        <f t="shared" si="88"/>
        <v>1</v>
      </c>
      <c r="U225" s="42">
        <f t="shared" si="89"/>
        <v>4</v>
      </c>
      <c r="V225" s="42">
        <f t="shared" si="90"/>
        <v>2</v>
      </c>
      <c r="W225" s="42">
        <f t="shared" si="91"/>
        <v>3</v>
      </c>
      <c r="X225" s="42">
        <f t="shared" si="92"/>
        <v>3</v>
      </c>
      <c r="Y225" s="42">
        <f t="shared" si="93"/>
        <v>2</v>
      </c>
      <c r="Z225" s="42">
        <f t="shared" si="94"/>
        <v>0</v>
      </c>
      <c r="AA225" s="52">
        <f t="shared" si="95"/>
        <v>18</v>
      </c>
      <c r="AB225" s="53">
        <f t="shared" si="96"/>
        <v>45</v>
      </c>
    </row>
    <row r="226" ht="15.75" customHeight="1">
      <c r="B226" s="43">
        <v>12.0</v>
      </c>
      <c r="C226" s="57" t="s">
        <v>212</v>
      </c>
      <c r="D226" s="43">
        <v>28.0</v>
      </c>
      <c r="E226" s="43" t="s">
        <v>202</v>
      </c>
      <c r="F226" s="47">
        <v>1.0</v>
      </c>
      <c r="G226" s="47">
        <v>4.0</v>
      </c>
      <c r="H226" s="47">
        <v>3.0</v>
      </c>
      <c r="I226" s="47">
        <v>5.0</v>
      </c>
      <c r="J226" s="47">
        <v>2.0</v>
      </c>
      <c r="K226" s="47">
        <v>4.0</v>
      </c>
      <c r="L226" s="47">
        <v>1.0</v>
      </c>
      <c r="M226" s="47">
        <v>3.0</v>
      </c>
      <c r="N226" s="47">
        <v>5.0</v>
      </c>
      <c r="O226" s="47">
        <v>2.0</v>
      </c>
      <c r="P226" s="37"/>
      <c r="Q226" s="42">
        <f t="shared" si="85"/>
        <v>0</v>
      </c>
      <c r="R226" s="42">
        <f t="shared" si="86"/>
        <v>1</v>
      </c>
      <c r="S226" s="42">
        <f t="shared" si="87"/>
        <v>2</v>
      </c>
      <c r="T226" s="42">
        <f t="shared" si="88"/>
        <v>0</v>
      </c>
      <c r="U226" s="42">
        <f t="shared" si="89"/>
        <v>1</v>
      </c>
      <c r="V226" s="42">
        <f t="shared" si="90"/>
        <v>1</v>
      </c>
      <c r="W226" s="42">
        <f t="shared" si="91"/>
        <v>0</v>
      </c>
      <c r="X226" s="42">
        <f t="shared" si="92"/>
        <v>2</v>
      </c>
      <c r="Y226" s="42">
        <f t="shared" si="93"/>
        <v>4</v>
      </c>
      <c r="Z226" s="42">
        <f t="shared" si="94"/>
        <v>3</v>
      </c>
      <c r="AA226" s="52">
        <f t="shared" si="95"/>
        <v>14</v>
      </c>
      <c r="AB226" s="53">
        <f t="shared" si="96"/>
        <v>35</v>
      </c>
    </row>
    <row r="227" ht="15.75" customHeight="1">
      <c r="B227" s="43">
        <v>13.0</v>
      </c>
      <c r="C227" s="57" t="s">
        <v>213</v>
      </c>
      <c r="D227" s="43">
        <v>20.0</v>
      </c>
      <c r="E227" s="43" t="s">
        <v>200</v>
      </c>
      <c r="F227" s="47">
        <v>5.0</v>
      </c>
      <c r="G227" s="47">
        <v>2.0</v>
      </c>
      <c r="H227" s="47">
        <v>2.0</v>
      </c>
      <c r="I227" s="47">
        <v>1.0</v>
      </c>
      <c r="J227" s="47">
        <v>3.0</v>
      </c>
      <c r="K227" s="47">
        <v>5.0</v>
      </c>
      <c r="L227" s="47">
        <v>4.0</v>
      </c>
      <c r="M227" s="47">
        <v>2.0</v>
      </c>
      <c r="N227" s="47">
        <v>1.0</v>
      </c>
      <c r="O227" s="47">
        <v>4.0</v>
      </c>
      <c r="P227" s="37"/>
      <c r="Q227" s="42">
        <f t="shared" si="85"/>
        <v>4</v>
      </c>
      <c r="R227" s="42">
        <f t="shared" si="86"/>
        <v>3</v>
      </c>
      <c r="S227" s="42">
        <f t="shared" si="87"/>
        <v>1</v>
      </c>
      <c r="T227" s="42">
        <f t="shared" si="88"/>
        <v>4</v>
      </c>
      <c r="U227" s="42">
        <f t="shared" si="89"/>
        <v>2</v>
      </c>
      <c r="V227" s="42">
        <f t="shared" si="90"/>
        <v>0</v>
      </c>
      <c r="W227" s="42">
        <f t="shared" si="91"/>
        <v>3</v>
      </c>
      <c r="X227" s="42">
        <f t="shared" si="92"/>
        <v>3</v>
      </c>
      <c r="Y227" s="42">
        <f t="shared" si="93"/>
        <v>0</v>
      </c>
      <c r="Z227" s="42">
        <f t="shared" si="94"/>
        <v>1</v>
      </c>
      <c r="AA227" s="52">
        <f t="shared" si="95"/>
        <v>21</v>
      </c>
      <c r="AB227" s="53">
        <f t="shared" si="96"/>
        <v>52.5</v>
      </c>
    </row>
    <row r="228" ht="15.75" customHeight="1">
      <c r="B228" s="43">
        <v>14.0</v>
      </c>
      <c r="C228" s="57" t="s">
        <v>214</v>
      </c>
      <c r="D228" s="43">
        <v>35.0</v>
      </c>
      <c r="E228" s="43" t="s">
        <v>202</v>
      </c>
      <c r="F228" s="47">
        <v>4.0</v>
      </c>
      <c r="G228" s="47">
        <v>1.0</v>
      </c>
      <c r="H228" s="47">
        <v>4.0</v>
      </c>
      <c r="I228" s="47">
        <v>2.0</v>
      </c>
      <c r="J228" s="47">
        <v>4.0</v>
      </c>
      <c r="K228" s="47">
        <v>3.0</v>
      </c>
      <c r="L228" s="47">
        <v>2.0</v>
      </c>
      <c r="M228" s="47">
        <v>5.0</v>
      </c>
      <c r="N228" s="47">
        <v>3.0</v>
      </c>
      <c r="O228" s="47">
        <v>1.0</v>
      </c>
      <c r="P228" s="37"/>
      <c r="Q228" s="42">
        <f t="shared" si="85"/>
        <v>3</v>
      </c>
      <c r="R228" s="42">
        <f t="shared" si="86"/>
        <v>4</v>
      </c>
      <c r="S228" s="42">
        <f t="shared" si="87"/>
        <v>3</v>
      </c>
      <c r="T228" s="42">
        <f t="shared" si="88"/>
        <v>3</v>
      </c>
      <c r="U228" s="42">
        <f t="shared" si="89"/>
        <v>3</v>
      </c>
      <c r="V228" s="42">
        <f t="shared" si="90"/>
        <v>2</v>
      </c>
      <c r="W228" s="42">
        <f t="shared" si="91"/>
        <v>1</v>
      </c>
      <c r="X228" s="42">
        <f t="shared" si="92"/>
        <v>0</v>
      </c>
      <c r="Y228" s="42">
        <f t="shared" si="93"/>
        <v>2</v>
      </c>
      <c r="Z228" s="42">
        <f t="shared" si="94"/>
        <v>4</v>
      </c>
      <c r="AA228" s="52">
        <f t="shared" si="95"/>
        <v>25</v>
      </c>
      <c r="AB228" s="53">
        <f t="shared" si="96"/>
        <v>62.5</v>
      </c>
    </row>
    <row r="229" ht="15.75" customHeight="1">
      <c r="B229" s="43">
        <v>15.0</v>
      </c>
      <c r="C229" s="57" t="s">
        <v>215</v>
      </c>
      <c r="D229" s="43">
        <v>15.0</v>
      </c>
      <c r="E229" s="43" t="s">
        <v>200</v>
      </c>
      <c r="F229" s="47">
        <v>3.0</v>
      </c>
      <c r="G229" s="47">
        <v>5.0</v>
      </c>
      <c r="H229" s="47">
        <v>1.0</v>
      </c>
      <c r="I229" s="47">
        <v>3.0</v>
      </c>
      <c r="J229" s="47">
        <v>1.0</v>
      </c>
      <c r="K229" s="47">
        <v>2.0</v>
      </c>
      <c r="L229" s="47">
        <v>5.0</v>
      </c>
      <c r="M229" s="47">
        <v>1.0</v>
      </c>
      <c r="N229" s="47">
        <v>4.0</v>
      </c>
      <c r="O229" s="47">
        <v>3.0</v>
      </c>
      <c r="P229" s="37"/>
      <c r="Q229" s="42">
        <f t="shared" si="85"/>
        <v>2</v>
      </c>
      <c r="R229" s="42">
        <f t="shared" si="86"/>
        <v>0</v>
      </c>
      <c r="S229" s="42">
        <f t="shared" si="87"/>
        <v>0</v>
      </c>
      <c r="T229" s="42">
        <f t="shared" si="88"/>
        <v>2</v>
      </c>
      <c r="U229" s="42">
        <f t="shared" si="89"/>
        <v>0</v>
      </c>
      <c r="V229" s="42">
        <f t="shared" si="90"/>
        <v>3</v>
      </c>
      <c r="W229" s="42">
        <f t="shared" si="91"/>
        <v>4</v>
      </c>
      <c r="X229" s="42">
        <f t="shared" si="92"/>
        <v>4</v>
      </c>
      <c r="Y229" s="42">
        <f t="shared" si="93"/>
        <v>3</v>
      </c>
      <c r="Z229" s="42">
        <f t="shared" si="94"/>
        <v>2</v>
      </c>
      <c r="AA229" s="52">
        <f t="shared" si="95"/>
        <v>20</v>
      </c>
      <c r="AB229" s="53">
        <f t="shared" si="96"/>
        <v>50</v>
      </c>
    </row>
    <row r="230" ht="15.75" customHeight="1">
      <c r="B230" s="43">
        <v>16.0</v>
      </c>
      <c r="C230" s="57" t="s">
        <v>216</v>
      </c>
      <c r="D230" s="43">
        <v>27.0</v>
      </c>
      <c r="E230" s="43" t="s">
        <v>202</v>
      </c>
      <c r="F230" s="47">
        <v>2.0</v>
      </c>
      <c r="G230" s="47">
        <v>4.0</v>
      </c>
      <c r="H230" s="47">
        <v>5.0</v>
      </c>
      <c r="I230" s="47">
        <v>4.0</v>
      </c>
      <c r="J230" s="47">
        <v>2.0</v>
      </c>
      <c r="K230" s="47">
        <v>1.0</v>
      </c>
      <c r="L230" s="47">
        <v>3.0</v>
      </c>
      <c r="M230" s="47">
        <v>4.0</v>
      </c>
      <c r="N230" s="47">
        <v>2.0</v>
      </c>
      <c r="O230" s="47">
        <v>5.0</v>
      </c>
      <c r="P230" s="37"/>
      <c r="Q230" s="42">
        <f t="shared" si="85"/>
        <v>1</v>
      </c>
      <c r="R230" s="42">
        <f t="shared" si="86"/>
        <v>1</v>
      </c>
      <c r="S230" s="42">
        <f t="shared" si="87"/>
        <v>4</v>
      </c>
      <c r="T230" s="42">
        <f t="shared" si="88"/>
        <v>1</v>
      </c>
      <c r="U230" s="42">
        <f t="shared" si="89"/>
        <v>1</v>
      </c>
      <c r="V230" s="42">
        <f t="shared" si="90"/>
        <v>4</v>
      </c>
      <c r="W230" s="42">
        <f t="shared" si="91"/>
        <v>2</v>
      </c>
      <c r="X230" s="42">
        <f t="shared" si="92"/>
        <v>1</v>
      </c>
      <c r="Y230" s="42">
        <f t="shared" si="93"/>
        <v>1</v>
      </c>
      <c r="Z230" s="42">
        <f t="shared" si="94"/>
        <v>0</v>
      </c>
      <c r="AA230" s="52">
        <f t="shared" si="95"/>
        <v>16</v>
      </c>
      <c r="AB230" s="53">
        <f t="shared" si="96"/>
        <v>40</v>
      </c>
    </row>
    <row r="231" ht="15.75" customHeight="1">
      <c r="B231" s="43">
        <v>17.0</v>
      </c>
      <c r="C231" s="57" t="s">
        <v>217</v>
      </c>
      <c r="D231" s="43">
        <v>23.0</v>
      </c>
      <c r="E231" s="43" t="s">
        <v>200</v>
      </c>
      <c r="F231" s="47">
        <v>1.0</v>
      </c>
      <c r="G231" s="47">
        <v>3.0</v>
      </c>
      <c r="H231" s="47">
        <v>2.0</v>
      </c>
      <c r="I231" s="47">
        <v>5.0</v>
      </c>
      <c r="J231" s="47">
        <v>4.0</v>
      </c>
      <c r="K231" s="47">
        <v>2.0</v>
      </c>
      <c r="L231" s="47">
        <v>4.0</v>
      </c>
      <c r="M231" s="47">
        <v>3.0</v>
      </c>
      <c r="N231" s="47">
        <v>5.0</v>
      </c>
      <c r="O231" s="47">
        <v>2.0</v>
      </c>
      <c r="P231" s="37"/>
      <c r="Q231" s="42">
        <f t="shared" si="85"/>
        <v>0</v>
      </c>
      <c r="R231" s="42">
        <f t="shared" si="86"/>
        <v>2</v>
      </c>
      <c r="S231" s="42">
        <f t="shared" si="87"/>
        <v>1</v>
      </c>
      <c r="T231" s="42">
        <f t="shared" si="88"/>
        <v>0</v>
      </c>
      <c r="U231" s="42">
        <f t="shared" si="89"/>
        <v>3</v>
      </c>
      <c r="V231" s="42">
        <f t="shared" si="90"/>
        <v>3</v>
      </c>
      <c r="W231" s="42">
        <f t="shared" si="91"/>
        <v>3</v>
      </c>
      <c r="X231" s="42">
        <f t="shared" si="92"/>
        <v>2</v>
      </c>
      <c r="Y231" s="42">
        <f t="shared" si="93"/>
        <v>4</v>
      </c>
      <c r="Z231" s="42">
        <f t="shared" si="94"/>
        <v>3</v>
      </c>
      <c r="AA231" s="52">
        <f t="shared" si="95"/>
        <v>21</v>
      </c>
      <c r="AB231" s="53">
        <f t="shared" si="96"/>
        <v>52.5</v>
      </c>
    </row>
    <row r="232" ht="15.75" customHeight="1">
      <c r="B232" s="43">
        <v>18.0</v>
      </c>
      <c r="C232" s="57" t="s">
        <v>218</v>
      </c>
      <c r="D232" s="43">
        <v>33.0</v>
      </c>
      <c r="E232" s="43" t="s">
        <v>202</v>
      </c>
      <c r="F232" s="47">
        <v>5.0</v>
      </c>
      <c r="G232" s="47">
        <v>3.0</v>
      </c>
      <c r="H232" s="47">
        <v>4.0</v>
      </c>
      <c r="I232" s="47">
        <v>1.0</v>
      </c>
      <c r="J232" s="47">
        <v>3.0</v>
      </c>
      <c r="K232" s="47">
        <v>4.0</v>
      </c>
      <c r="L232" s="47">
        <v>1.0</v>
      </c>
      <c r="M232" s="47">
        <v>5.0</v>
      </c>
      <c r="N232" s="47">
        <v>1.0</v>
      </c>
      <c r="O232" s="47">
        <v>2.0</v>
      </c>
      <c r="P232" s="37"/>
      <c r="Q232" s="42">
        <f t="shared" si="85"/>
        <v>4</v>
      </c>
      <c r="R232" s="42">
        <f t="shared" si="86"/>
        <v>2</v>
      </c>
      <c r="S232" s="42">
        <f t="shared" si="87"/>
        <v>3</v>
      </c>
      <c r="T232" s="42">
        <f t="shared" si="88"/>
        <v>4</v>
      </c>
      <c r="U232" s="42">
        <f t="shared" si="89"/>
        <v>2</v>
      </c>
      <c r="V232" s="42">
        <f t="shared" si="90"/>
        <v>1</v>
      </c>
      <c r="W232" s="42">
        <f t="shared" si="91"/>
        <v>0</v>
      </c>
      <c r="X232" s="42">
        <f t="shared" si="92"/>
        <v>0</v>
      </c>
      <c r="Y232" s="42">
        <f t="shared" si="93"/>
        <v>0</v>
      </c>
      <c r="Z232" s="42">
        <f t="shared" si="94"/>
        <v>3</v>
      </c>
      <c r="AA232" s="52">
        <f t="shared" si="95"/>
        <v>19</v>
      </c>
      <c r="AB232" s="53">
        <f t="shared" si="96"/>
        <v>47.5</v>
      </c>
    </row>
    <row r="233" ht="15.75" customHeight="1">
      <c r="B233" s="43">
        <v>19.0</v>
      </c>
      <c r="C233" s="57" t="s">
        <v>219</v>
      </c>
      <c r="D233" s="43">
        <v>30.0</v>
      </c>
      <c r="E233" s="43" t="s">
        <v>200</v>
      </c>
      <c r="F233" s="47">
        <v>4.0</v>
      </c>
      <c r="G233" s="47">
        <v>1.0</v>
      </c>
      <c r="H233" s="47">
        <v>2.0</v>
      </c>
      <c r="I233" s="47">
        <v>3.0</v>
      </c>
      <c r="J233" s="47">
        <v>5.0</v>
      </c>
      <c r="K233" s="47">
        <v>1.0</v>
      </c>
      <c r="L233" s="47">
        <v>2.0</v>
      </c>
      <c r="M233" s="47">
        <v>3.0</v>
      </c>
      <c r="N233" s="47">
        <v>4.0</v>
      </c>
      <c r="O233" s="47">
        <v>5.0</v>
      </c>
      <c r="P233" s="37"/>
      <c r="Q233" s="42">
        <f t="shared" si="85"/>
        <v>3</v>
      </c>
      <c r="R233" s="42">
        <f t="shared" si="86"/>
        <v>4</v>
      </c>
      <c r="S233" s="42">
        <f t="shared" si="87"/>
        <v>1</v>
      </c>
      <c r="T233" s="42">
        <f t="shared" si="88"/>
        <v>2</v>
      </c>
      <c r="U233" s="42">
        <f t="shared" si="89"/>
        <v>4</v>
      </c>
      <c r="V233" s="42">
        <f t="shared" si="90"/>
        <v>4</v>
      </c>
      <c r="W233" s="42">
        <f t="shared" si="91"/>
        <v>1</v>
      </c>
      <c r="X233" s="42">
        <f t="shared" si="92"/>
        <v>2</v>
      </c>
      <c r="Y233" s="42">
        <f t="shared" si="93"/>
        <v>3</v>
      </c>
      <c r="Z233" s="42">
        <f t="shared" si="94"/>
        <v>0</v>
      </c>
      <c r="AA233" s="52">
        <f t="shared" si="95"/>
        <v>24</v>
      </c>
      <c r="AB233" s="53">
        <f t="shared" si="96"/>
        <v>60</v>
      </c>
    </row>
    <row r="234" ht="15.75" customHeight="1">
      <c r="B234" s="43">
        <v>20.0</v>
      </c>
      <c r="C234" s="57" t="s">
        <v>220</v>
      </c>
      <c r="D234" s="43">
        <v>21.0</v>
      </c>
      <c r="E234" s="43" t="s">
        <v>202</v>
      </c>
      <c r="F234" s="47">
        <v>3.0</v>
      </c>
      <c r="G234" s="47">
        <v>2.0</v>
      </c>
      <c r="H234" s="47">
        <v>3.0</v>
      </c>
      <c r="I234" s="47">
        <v>2.0</v>
      </c>
      <c r="J234" s="47">
        <v>1.0</v>
      </c>
      <c r="K234" s="47">
        <v>3.0</v>
      </c>
      <c r="L234" s="47">
        <v>4.0</v>
      </c>
      <c r="M234" s="47">
        <v>5.0</v>
      </c>
      <c r="N234" s="47">
        <v>3.0</v>
      </c>
      <c r="O234" s="47">
        <v>1.0</v>
      </c>
      <c r="P234" s="37"/>
      <c r="Q234" s="42">
        <f t="shared" si="85"/>
        <v>2</v>
      </c>
      <c r="R234" s="42">
        <f t="shared" si="86"/>
        <v>3</v>
      </c>
      <c r="S234" s="42">
        <f t="shared" si="87"/>
        <v>2</v>
      </c>
      <c r="T234" s="42">
        <f t="shared" si="88"/>
        <v>3</v>
      </c>
      <c r="U234" s="42">
        <f t="shared" si="89"/>
        <v>0</v>
      </c>
      <c r="V234" s="42">
        <f t="shared" si="90"/>
        <v>2</v>
      </c>
      <c r="W234" s="42">
        <f t="shared" si="91"/>
        <v>3</v>
      </c>
      <c r="X234" s="42">
        <f t="shared" si="92"/>
        <v>0</v>
      </c>
      <c r="Y234" s="42">
        <f t="shared" si="93"/>
        <v>2</v>
      </c>
      <c r="Z234" s="42">
        <f t="shared" si="94"/>
        <v>4</v>
      </c>
      <c r="AA234" s="52">
        <f t="shared" si="95"/>
        <v>21</v>
      </c>
      <c r="AB234" s="53">
        <f t="shared" si="96"/>
        <v>52.5</v>
      </c>
    </row>
    <row r="235" ht="15.75" customHeight="1">
      <c r="B235" s="43">
        <v>21.0</v>
      </c>
      <c r="C235" s="57" t="s">
        <v>221</v>
      </c>
      <c r="D235" s="43">
        <v>20.0</v>
      </c>
      <c r="E235" s="43" t="s">
        <v>200</v>
      </c>
      <c r="F235" s="47">
        <v>3.0</v>
      </c>
      <c r="G235" s="47">
        <v>1.0</v>
      </c>
      <c r="H235" s="47">
        <v>3.0</v>
      </c>
      <c r="I235" s="47">
        <v>2.0</v>
      </c>
      <c r="J235" s="47">
        <v>4.0</v>
      </c>
      <c r="K235" s="47">
        <v>1.0</v>
      </c>
      <c r="L235" s="47">
        <v>3.0</v>
      </c>
      <c r="M235" s="47">
        <v>5.0</v>
      </c>
      <c r="N235" s="47">
        <v>1.0</v>
      </c>
      <c r="O235" s="47">
        <v>4.0</v>
      </c>
      <c r="P235" s="37"/>
      <c r="Q235" s="42">
        <f t="shared" si="85"/>
        <v>2</v>
      </c>
      <c r="R235" s="42">
        <f t="shared" si="86"/>
        <v>4</v>
      </c>
      <c r="S235" s="42">
        <f t="shared" si="87"/>
        <v>2</v>
      </c>
      <c r="T235" s="42">
        <f t="shared" si="88"/>
        <v>3</v>
      </c>
      <c r="U235" s="42">
        <f t="shared" si="89"/>
        <v>3</v>
      </c>
      <c r="V235" s="42">
        <f t="shared" si="90"/>
        <v>4</v>
      </c>
      <c r="W235" s="42">
        <f t="shared" si="91"/>
        <v>2</v>
      </c>
      <c r="X235" s="42">
        <f t="shared" si="92"/>
        <v>0</v>
      </c>
      <c r="Y235" s="42">
        <f t="shared" si="93"/>
        <v>0</v>
      </c>
      <c r="Z235" s="42">
        <f t="shared" si="94"/>
        <v>1</v>
      </c>
      <c r="AA235" s="52">
        <f t="shared" si="95"/>
        <v>21</v>
      </c>
      <c r="AB235" s="53">
        <f t="shared" si="96"/>
        <v>52.5</v>
      </c>
    </row>
    <row r="236" ht="15.75" customHeight="1">
      <c r="B236" s="43">
        <v>22.0</v>
      </c>
      <c r="C236" s="57" t="s">
        <v>222</v>
      </c>
      <c r="D236" s="43">
        <v>20.0</v>
      </c>
      <c r="E236" s="43" t="s">
        <v>202</v>
      </c>
      <c r="F236" s="47">
        <v>4.0</v>
      </c>
      <c r="G236" s="47">
        <v>2.0</v>
      </c>
      <c r="H236" s="47">
        <v>5.0</v>
      </c>
      <c r="I236" s="47">
        <v>3.0</v>
      </c>
      <c r="J236" s="47">
        <v>1.0</v>
      </c>
      <c r="K236" s="47">
        <v>2.0</v>
      </c>
      <c r="L236" s="47">
        <v>5.0</v>
      </c>
      <c r="M236" s="47">
        <v>1.0</v>
      </c>
      <c r="N236" s="47">
        <v>2.0</v>
      </c>
      <c r="O236" s="47">
        <v>3.0</v>
      </c>
      <c r="P236" s="37"/>
      <c r="Q236" s="42">
        <f t="shared" si="85"/>
        <v>3</v>
      </c>
      <c r="R236" s="42">
        <f t="shared" si="86"/>
        <v>3</v>
      </c>
      <c r="S236" s="42">
        <f t="shared" si="87"/>
        <v>4</v>
      </c>
      <c r="T236" s="42">
        <f t="shared" si="88"/>
        <v>2</v>
      </c>
      <c r="U236" s="42">
        <f t="shared" si="89"/>
        <v>0</v>
      </c>
      <c r="V236" s="42">
        <f t="shared" si="90"/>
        <v>3</v>
      </c>
      <c r="W236" s="42">
        <f t="shared" si="91"/>
        <v>4</v>
      </c>
      <c r="X236" s="42">
        <f t="shared" si="92"/>
        <v>4</v>
      </c>
      <c r="Y236" s="42">
        <f t="shared" si="93"/>
        <v>1</v>
      </c>
      <c r="Z236" s="42">
        <f t="shared" si="94"/>
        <v>2</v>
      </c>
      <c r="AA236" s="52">
        <f t="shared" si="95"/>
        <v>26</v>
      </c>
      <c r="AB236" s="53">
        <f t="shared" si="96"/>
        <v>65</v>
      </c>
    </row>
    <row r="237" ht="15.75" customHeight="1">
      <c r="B237" s="43">
        <v>23.0</v>
      </c>
      <c r="C237" s="57" t="s">
        <v>223</v>
      </c>
      <c r="D237" s="43">
        <v>25.0</v>
      </c>
      <c r="E237" s="43" t="s">
        <v>200</v>
      </c>
      <c r="F237" s="47">
        <v>2.0</v>
      </c>
      <c r="G237" s="47">
        <v>3.0</v>
      </c>
      <c r="H237" s="47">
        <v>1.0</v>
      </c>
      <c r="I237" s="47">
        <v>4.0</v>
      </c>
      <c r="J237" s="47">
        <v>5.0</v>
      </c>
      <c r="K237" s="47">
        <v>3.0</v>
      </c>
      <c r="L237" s="47">
        <v>4.0</v>
      </c>
      <c r="M237" s="47">
        <v>2.0</v>
      </c>
      <c r="N237" s="47">
        <v>3.0</v>
      </c>
      <c r="O237" s="47">
        <v>5.0</v>
      </c>
      <c r="P237" s="37"/>
      <c r="Q237" s="42">
        <f t="shared" si="85"/>
        <v>1</v>
      </c>
      <c r="R237" s="42">
        <f t="shared" si="86"/>
        <v>2</v>
      </c>
      <c r="S237" s="42">
        <f t="shared" si="87"/>
        <v>0</v>
      </c>
      <c r="T237" s="42">
        <f t="shared" si="88"/>
        <v>1</v>
      </c>
      <c r="U237" s="42">
        <f t="shared" si="89"/>
        <v>4</v>
      </c>
      <c r="V237" s="42">
        <f t="shared" si="90"/>
        <v>2</v>
      </c>
      <c r="W237" s="42">
        <f t="shared" si="91"/>
        <v>3</v>
      </c>
      <c r="X237" s="42">
        <f t="shared" si="92"/>
        <v>3</v>
      </c>
      <c r="Y237" s="42">
        <f t="shared" si="93"/>
        <v>2</v>
      </c>
      <c r="Z237" s="42">
        <f t="shared" si="94"/>
        <v>0</v>
      </c>
      <c r="AA237" s="52">
        <f t="shared" si="95"/>
        <v>18</v>
      </c>
      <c r="AB237" s="53">
        <f t="shared" si="96"/>
        <v>45</v>
      </c>
    </row>
    <row r="238" ht="15.75" customHeight="1">
      <c r="B238" s="43">
        <v>24.0</v>
      </c>
      <c r="C238" s="57" t="s">
        <v>224</v>
      </c>
      <c r="D238" s="43">
        <v>19.0</v>
      </c>
      <c r="E238" s="43" t="s">
        <v>202</v>
      </c>
      <c r="F238" s="47">
        <v>1.0</v>
      </c>
      <c r="G238" s="47">
        <v>2.0</v>
      </c>
      <c r="H238" s="47">
        <v>1.0</v>
      </c>
      <c r="I238" s="47">
        <v>4.0</v>
      </c>
      <c r="J238" s="47">
        <v>1.0</v>
      </c>
      <c r="K238" s="47">
        <v>2.0</v>
      </c>
      <c r="L238" s="47">
        <v>3.0</v>
      </c>
      <c r="M238" s="47">
        <v>1.0</v>
      </c>
      <c r="N238" s="47">
        <v>5.0</v>
      </c>
      <c r="O238" s="47">
        <v>1.0</v>
      </c>
      <c r="P238" s="37"/>
      <c r="Q238" s="42">
        <f t="shared" si="85"/>
        <v>0</v>
      </c>
      <c r="R238" s="42">
        <f t="shared" si="86"/>
        <v>3</v>
      </c>
      <c r="S238" s="42">
        <f t="shared" si="87"/>
        <v>0</v>
      </c>
      <c r="T238" s="42">
        <f t="shared" si="88"/>
        <v>1</v>
      </c>
      <c r="U238" s="42">
        <f t="shared" si="89"/>
        <v>0</v>
      </c>
      <c r="V238" s="42">
        <f t="shared" si="90"/>
        <v>3</v>
      </c>
      <c r="W238" s="42">
        <f t="shared" si="91"/>
        <v>2</v>
      </c>
      <c r="X238" s="42">
        <f t="shared" si="92"/>
        <v>4</v>
      </c>
      <c r="Y238" s="42">
        <f t="shared" si="93"/>
        <v>4</v>
      </c>
      <c r="Z238" s="42">
        <f t="shared" si="94"/>
        <v>4</v>
      </c>
      <c r="AA238" s="52">
        <f t="shared" si="95"/>
        <v>21</v>
      </c>
      <c r="AB238" s="53">
        <f t="shared" si="96"/>
        <v>52.5</v>
      </c>
    </row>
    <row r="239" ht="15.75" customHeight="1">
      <c r="B239" s="43">
        <v>25.0</v>
      </c>
      <c r="C239" s="57" t="s">
        <v>225</v>
      </c>
      <c r="D239" s="43">
        <v>32.0</v>
      </c>
      <c r="E239" s="43" t="s">
        <v>200</v>
      </c>
      <c r="F239" s="47">
        <v>1.0</v>
      </c>
      <c r="G239" s="47">
        <v>1.0</v>
      </c>
      <c r="H239" s="47">
        <v>4.0</v>
      </c>
      <c r="I239" s="47">
        <v>2.0</v>
      </c>
      <c r="J239" s="47">
        <v>4.0</v>
      </c>
      <c r="K239" s="47">
        <v>4.0</v>
      </c>
      <c r="L239" s="47">
        <v>5.0</v>
      </c>
      <c r="M239" s="47">
        <v>4.0</v>
      </c>
      <c r="N239" s="47">
        <v>4.0</v>
      </c>
      <c r="O239" s="47">
        <v>4.0</v>
      </c>
      <c r="P239" s="37"/>
      <c r="Q239" s="42">
        <f t="shared" si="85"/>
        <v>0</v>
      </c>
      <c r="R239" s="42">
        <f t="shared" si="86"/>
        <v>4</v>
      </c>
      <c r="S239" s="42">
        <f t="shared" si="87"/>
        <v>3</v>
      </c>
      <c r="T239" s="42">
        <f t="shared" si="88"/>
        <v>3</v>
      </c>
      <c r="U239" s="42">
        <f t="shared" si="89"/>
        <v>3</v>
      </c>
      <c r="V239" s="42">
        <f t="shared" si="90"/>
        <v>1</v>
      </c>
      <c r="W239" s="42">
        <f t="shared" si="91"/>
        <v>4</v>
      </c>
      <c r="X239" s="42">
        <f t="shared" si="92"/>
        <v>1</v>
      </c>
      <c r="Y239" s="42">
        <f t="shared" si="93"/>
        <v>3</v>
      </c>
      <c r="Z239" s="42">
        <f t="shared" si="94"/>
        <v>1</v>
      </c>
      <c r="AA239" s="52">
        <f t="shared" si="95"/>
        <v>23</v>
      </c>
      <c r="AB239" s="53">
        <f t="shared" si="96"/>
        <v>57.5</v>
      </c>
    </row>
    <row r="240" ht="15.75" customHeight="1">
      <c r="B240" s="54"/>
      <c r="C240" s="41" t="s">
        <v>226</v>
      </c>
      <c r="D240" s="55">
        <f>AVERAGE(D215:D239)</f>
        <v>23.16</v>
      </c>
      <c r="E240" s="43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37"/>
      <c r="Q240" s="38" t="s">
        <v>227</v>
      </c>
      <c r="R240" s="35"/>
      <c r="S240" s="35"/>
      <c r="T240" s="35"/>
      <c r="U240" s="35"/>
      <c r="V240" s="35"/>
      <c r="W240" s="35"/>
      <c r="X240" s="35"/>
      <c r="Y240" s="35"/>
      <c r="Z240" s="35"/>
      <c r="AA240" s="36"/>
      <c r="AB240" s="56">
        <f>AVERAGE(AB215:AB239)</f>
        <v>51</v>
      </c>
    </row>
    <row r="241" ht="15.75" customHeight="1"/>
    <row r="242" ht="24.75" customHeight="1">
      <c r="A242" s="32" t="s">
        <v>236</v>
      </c>
    </row>
    <row r="243" ht="15.75" customHeight="1">
      <c r="B243" s="33" t="s">
        <v>181</v>
      </c>
      <c r="C243" s="33" t="s">
        <v>182</v>
      </c>
      <c r="D243" s="33" t="s">
        <v>183</v>
      </c>
      <c r="E243" s="33" t="s">
        <v>184</v>
      </c>
      <c r="F243" s="34" t="s">
        <v>185</v>
      </c>
      <c r="G243" s="35"/>
      <c r="H243" s="35"/>
      <c r="I243" s="35"/>
      <c r="J243" s="35"/>
      <c r="K243" s="35"/>
      <c r="L243" s="35"/>
      <c r="M243" s="35"/>
      <c r="N243" s="35"/>
      <c r="O243" s="36"/>
      <c r="P243" s="37"/>
      <c r="Q243" s="38" t="s">
        <v>186</v>
      </c>
      <c r="R243" s="35"/>
      <c r="S243" s="35"/>
      <c r="T243" s="35"/>
      <c r="U243" s="35"/>
      <c r="V243" s="35"/>
      <c r="W243" s="35"/>
      <c r="X243" s="35"/>
      <c r="Y243" s="35"/>
      <c r="Z243" s="36"/>
      <c r="AA243" s="33" t="s">
        <v>187</v>
      </c>
      <c r="AB243" s="39" t="s">
        <v>188</v>
      </c>
    </row>
    <row r="244" ht="15.75" customHeight="1">
      <c r="B244" s="40"/>
      <c r="C244" s="40"/>
      <c r="D244" s="40"/>
      <c r="E244" s="40"/>
      <c r="F244" s="41" t="s">
        <v>189</v>
      </c>
      <c r="G244" s="41" t="s">
        <v>190</v>
      </c>
      <c r="H244" s="41" t="s">
        <v>191</v>
      </c>
      <c r="I244" s="41" t="s">
        <v>192</v>
      </c>
      <c r="J244" s="41" t="s">
        <v>193</v>
      </c>
      <c r="K244" s="41" t="s">
        <v>194</v>
      </c>
      <c r="L244" s="41" t="s">
        <v>195</v>
      </c>
      <c r="M244" s="41" t="s">
        <v>196</v>
      </c>
      <c r="N244" s="41" t="s">
        <v>197</v>
      </c>
      <c r="O244" s="41" t="s">
        <v>198</v>
      </c>
      <c r="P244" s="37"/>
      <c r="Q244" s="42" t="s">
        <v>189</v>
      </c>
      <c r="R244" s="42" t="s">
        <v>190</v>
      </c>
      <c r="S244" s="42" t="s">
        <v>191</v>
      </c>
      <c r="T244" s="42" t="s">
        <v>192</v>
      </c>
      <c r="U244" s="42" t="s">
        <v>193</v>
      </c>
      <c r="V244" s="42" t="s">
        <v>194</v>
      </c>
      <c r="W244" s="42" t="s">
        <v>195</v>
      </c>
      <c r="X244" s="42" t="s">
        <v>196</v>
      </c>
      <c r="Y244" s="42" t="s">
        <v>197</v>
      </c>
      <c r="Z244" s="42" t="s">
        <v>198</v>
      </c>
      <c r="AA244" s="40"/>
      <c r="AB244" s="40"/>
    </row>
    <row r="245" ht="15.75" customHeight="1">
      <c r="B245" s="43">
        <v>1.0</v>
      </c>
      <c r="C245" s="57" t="s">
        <v>199</v>
      </c>
      <c r="D245" s="43">
        <v>19.0</v>
      </c>
      <c r="E245" s="43" t="s">
        <v>234</v>
      </c>
      <c r="F245" s="47">
        <v>4.0</v>
      </c>
      <c r="G245" s="47">
        <v>5.0</v>
      </c>
      <c r="H245" s="47">
        <v>4.0</v>
      </c>
      <c r="I245" s="47">
        <v>5.0</v>
      </c>
      <c r="J245" s="47">
        <v>4.0</v>
      </c>
      <c r="K245" s="47">
        <v>5.0</v>
      </c>
      <c r="L245" s="47">
        <v>5.0</v>
      </c>
      <c r="M245" s="47">
        <v>4.0</v>
      </c>
      <c r="N245" s="47">
        <v>5.0</v>
      </c>
      <c r="O245" s="47">
        <v>4.0</v>
      </c>
      <c r="P245" s="37"/>
      <c r="Q245" s="51">
        <f t="shared" ref="Q245:Q269" si="97">F245-1</f>
        <v>3</v>
      </c>
      <c r="R245" s="51">
        <f t="shared" ref="R245:R269" si="98">5-G245</f>
        <v>0</v>
      </c>
      <c r="S245" s="51">
        <f t="shared" ref="S245:S269" si="99">H245-1</f>
        <v>3</v>
      </c>
      <c r="T245" s="51">
        <f t="shared" ref="T245:T269" si="100">5-I245</f>
        <v>0</v>
      </c>
      <c r="U245" s="51">
        <f t="shared" ref="U245:U269" si="101">J245-1</f>
        <v>3</v>
      </c>
      <c r="V245" s="51">
        <f t="shared" ref="V245:V269" si="102">5-K245</f>
        <v>0</v>
      </c>
      <c r="W245" s="51">
        <f t="shared" ref="W245:W269" si="103">L245-1</f>
        <v>4</v>
      </c>
      <c r="X245" s="51">
        <f t="shared" ref="X245:X269" si="104">5-M245</f>
        <v>1</v>
      </c>
      <c r="Y245" s="51">
        <f t="shared" ref="Y245:Y269" si="105">N245-1</f>
        <v>4</v>
      </c>
      <c r="Z245" s="51">
        <f t="shared" ref="Z245:Z269" si="106">5-O245</f>
        <v>1</v>
      </c>
      <c r="AA245" s="52">
        <f t="shared" ref="AA245:AA269" si="107">SUM(Q245:Z245)</f>
        <v>19</v>
      </c>
      <c r="AB245" s="53">
        <f t="shared" ref="AB245:AB269" si="108">AA245*2.5</f>
        <v>47.5</v>
      </c>
    </row>
    <row r="246" ht="15.75" customHeight="1">
      <c r="B246" s="43">
        <v>2.0</v>
      </c>
      <c r="C246" s="57" t="s">
        <v>201</v>
      </c>
      <c r="D246" s="43">
        <v>20.0</v>
      </c>
      <c r="E246" s="43" t="s">
        <v>234</v>
      </c>
      <c r="F246" s="47">
        <v>3.0</v>
      </c>
      <c r="G246" s="47">
        <v>1.0</v>
      </c>
      <c r="H246" s="47">
        <v>3.0</v>
      </c>
      <c r="I246" s="47">
        <v>1.0</v>
      </c>
      <c r="J246" s="47">
        <v>4.0</v>
      </c>
      <c r="K246" s="47">
        <v>2.0</v>
      </c>
      <c r="L246" s="47">
        <v>5.0</v>
      </c>
      <c r="M246" s="47">
        <v>1.0</v>
      </c>
      <c r="N246" s="47">
        <v>2.0</v>
      </c>
      <c r="O246" s="47">
        <v>3.0</v>
      </c>
      <c r="P246" s="37"/>
      <c r="Q246" s="42">
        <f t="shared" si="97"/>
        <v>2</v>
      </c>
      <c r="R246" s="42">
        <f t="shared" si="98"/>
        <v>4</v>
      </c>
      <c r="S246" s="42">
        <f t="shared" si="99"/>
        <v>2</v>
      </c>
      <c r="T246" s="42">
        <f t="shared" si="100"/>
        <v>4</v>
      </c>
      <c r="U246" s="42">
        <f t="shared" si="101"/>
        <v>3</v>
      </c>
      <c r="V246" s="42">
        <f t="shared" si="102"/>
        <v>3</v>
      </c>
      <c r="W246" s="42">
        <f t="shared" si="103"/>
        <v>4</v>
      </c>
      <c r="X246" s="42">
        <f t="shared" si="104"/>
        <v>4</v>
      </c>
      <c r="Y246" s="42">
        <f t="shared" si="105"/>
        <v>1</v>
      </c>
      <c r="Z246" s="42">
        <f t="shared" si="106"/>
        <v>2</v>
      </c>
      <c r="AA246" s="52">
        <f t="shared" si="107"/>
        <v>29</v>
      </c>
      <c r="AB246" s="53">
        <f t="shared" si="108"/>
        <v>72.5</v>
      </c>
    </row>
    <row r="247" ht="15.75" customHeight="1">
      <c r="B247" s="43">
        <v>3.0</v>
      </c>
      <c r="C247" s="57" t="s">
        <v>203</v>
      </c>
      <c r="D247" s="43">
        <v>39.0</v>
      </c>
      <c r="E247" s="43" t="s">
        <v>234</v>
      </c>
      <c r="F247" s="47">
        <v>2.0</v>
      </c>
      <c r="G247" s="47">
        <v>4.0</v>
      </c>
      <c r="H247" s="47">
        <v>1.0</v>
      </c>
      <c r="I247" s="47">
        <v>5.0</v>
      </c>
      <c r="J247" s="47">
        <v>3.0</v>
      </c>
      <c r="K247" s="47">
        <v>1.0</v>
      </c>
      <c r="L247" s="47">
        <v>5.0</v>
      </c>
      <c r="M247" s="47">
        <v>1.0</v>
      </c>
      <c r="N247" s="47">
        <v>5.0</v>
      </c>
      <c r="O247" s="47">
        <v>3.0</v>
      </c>
      <c r="P247" s="37"/>
      <c r="Q247" s="42">
        <f t="shared" si="97"/>
        <v>1</v>
      </c>
      <c r="R247" s="42">
        <f t="shared" si="98"/>
        <v>1</v>
      </c>
      <c r="S247" s="42">
        <f t="shared" si="99"/>
        <v>0</v>
      </c>
      <c r="T247" s="42">
        <f t="shared" si="100"/>
        <v>0</v>
      </c>
      <c r="U247" s="42">
        <f t="shared" si="101"/>
        <v>2</v>
      </c>
      <c r="V247" s="42">
        <f t="shared" si="102"/>
        <v>4</v>
      </c>
      <c r="W247" s="42">
        <f t="shared" si="103"/>
        <v>4</v>
      </c>
      <c r="X247" s="42">
        <f t="shared" si="104"/>
        <v>4</v>
      </c>
      <c r="Y247" s="42">
        <f t="shared" si="105"/>
        <v>4</v>
      </c>
      <c r="Z247" s="42">
        <f t="shared" si="106"/>
        <v>2</v>
      </c>
      <c r="AA247" s="52">
        <f t="shared" si="107"/>
        <v>22</v>
      </c>
      <c r="AB247" s="53">
        <f t="shared" si="108"/>
        <v>55</v>
      </c>
    </row>
    <row r="248" ht="15.75" customHeight="1">
      <c r="B248" s="43">
        <v>4.0</v>
      </c>
      <c r="C248" s="57" t="s">
        <v>204</v>
      </c>
      <c r="D248" s="43">
        <v>19.0</v>
      </c>
      <c r="E248" s="43" t="s">
        <v>234</v>
      </c>
      <c r="F248" s="47">
        <v>1.0</v>
      </c>
      <c r="G248" s="47">
        <v>1.0</v>
      </c>
      <c r="H248" s="47">
        <v>5.0</v>
      </c>
      <c r="I248" s="47">
        <v>2.0</v>
      </c>
      <c r="J248" s="47">
        <v>3.0</v>
      </c>
      <c r="K248" s="47">
        <v>4.0</v>
      </c>
      <c r="L248" s="47">
        <v>5.0</v>
      </c>
      <c r="M248" s="47">
        <v>5.0</v>
      </c>
      <c r="N248" s="47">
        <v>5.0</v>
      </c>
      <c r="O248" s="47">
        <v>3.0</v>
      </c>
      <c r="P248" s="37"/>
      <c r="Q248" s="42">
        <f t="shared" si="97"/>
        <v>0</v>
      </c>
      <c r="R248" s="42">
        <f t="shared" si="98"/>
        <v>4</v>
      </c>
      <c r="S248" s="42">
        <f t="shared" si="99"/>
        <v>4</v>
      </c>
      <c r="T248" s="42">
        <f t="shared" si="100"/>
        <v>3</v>
      </c>
      <c r="U248" s="42">
        <f t="shared" si="101"/>
        <v>2</v>
      </c>
      <c r="V248" s="42">
        <f t="shared" si="102"/>
        <v>1</v>
      </c>
      <c r="W248" s="42">
        <f t="shared" si="103"/>
        <v>4</v>
      </c>
      <c r="X248" s="42">
        <f t="shared" si="104"/>
        <v>0</v>
      </c>
      <c r="Y248" s="42">
        <f t="shared" si="105"/>
        <v>4</v>
      </c>
      <c r="Z248" s="42">
        <f t="shared" si="106"/>
        <v>2</v>
      </c>
      <c r="AA248" s="52">
        <f t="shared" si="107"/>
        <v>24</v>
      </c>
      <c r="AB248" s="53">
        <f t="shared" si="108"/>
        <v>60</v>
      </c>
    </row>
    <row r="249" ht="15.75" customHeight="1">
      <c r="B249" s="43">
        <v>5.0</v>
      </c>
      <c r="C249" s="57" t="s">
        <v>205</v>
      </c>
      <c r="D249" s="43">
        <v>20.0</v>
      </c>
      <c r="E249" s="43" t="s">
        <v>234</v>
      </c>
      <c r="F249" s="47">
        <v>3.0</v>
      </c>
      <c r="G249" s="47">
        <v>2.0</v>
      </c>
      <c r="H249" s="47">
        <v>5.0</v>
      </c>
      <c r="I249" s="47">
        <v>3.0</v>
      </c>
      <c r="J249" s="47">
        <v>3.0</v>
      </c>
      <c r="K249" s="47">
        <v>2.0</v>
      </c>
      <c r="L249" s="47">
        <v>4.0</v>
      </c>
      <c r="M249" s="47">
        <v>4.0</v>
      </c>
      <c r="N249" s="47">
        <v>4.0</v>
      </c>
      <c r="O249" s="47">
        <v>4.0</v>
      </c>
      <c r="P249" s="37"/>
      <c r="Q249" s="42">
        <f t="shared" si="97"/>
        <v>2</v>
      </c>
      <c r="R249" s="42">
        <f t="shared" si="98"/>
        <v>3</v>
      </c>
      <c r="S249" s="42">
        <f t="shared" si="99"/>
        <v>4</v>
      </c>
      <c r="T249" s="42">
        <f t="shared" si="100"/>
        <v>2</v>
      </c>
      <c r="U249" s="42">
        <f t="shared" si="101"/>
        <v>2</v>
      </c>
      <c r="V249" s="42">
        <f t="shared" si="102"/>
        <v>3</v>
      </c>
      <c r="W249" s="42">
        <f t="shared" si="103"/>
        <v>3</v>
      </c>
      <c r="X249" s="42">
        <f t="shared" si="104"/>
        <v>1</v>
      </c>
      <c r="Y249" s="42">
        <f t="shared" si="105"/>
        <v>3</v>
      </c>
      <c r="Z249" s="42">
        <f t="shared" si="106"/>
        <v>1</v>
      </c>
      <c r="AA249" s="52">
        <f t="shared" si="107"/>
        <v>24</v>
      </c>
      <c r="AB249" s="53">
        <f t="shared" si="108"/>
        <v>60</v>
      </c>
    </row>
    <row r="250" ht="15.75" customHeight="1">
      <c r="B250" s="43">
        <v>6.0</v>
      </c>
      <c r="C250" s="57" t="s">
        <v>206</v>
      </c>
      <c r="D250" s="43">
        <v>20.0</v>
      </c>
      <c r="E250" s="43" t="s">
        <v>200</v>
      </c>
      <c r="F250" s="47">
        <v>4.0</v>
      </c>
      <c r="G250" s="47">
        <v>4.0</v>
      </c>
      <c r="H250" s="47">
        <v>5.0</v>
      </c>
      <c r="I250" s="47">
        <v>3.0</v>
      </c>
      <c r="J250" s="47">
        <v>5.0</v>
      </c>
      <c r="K250" s="47">
        <v>4.0</v>
      </c>
      <c r="L250" s="47">
        <v>5.0</v>
      </c>
      <c r="M250" s="47">
        <v>4.0</v>
      </c>
      <c r="N250" s="47">
        <v>3.0</v>
      </c>
      <c r="O250" s="47">
        <v>5.0</v>
      </c>
      <c r="P250" s="37"/>
      <c r="Q250" s="42">
        <f t="shared" si="97"/>
        <v>3</v>
      </c>
      <c r="R250" s="42">
        <f t="shared" si="98"/>
        <v>1</v>
      </c>
      <c r="S250" s="42">
        <f t="shared" si="99"/>
        <v>4</v>
      </c>
      <c r="T250" s="42">
        <f t="shared" si="100"/>
        <v>2</v>
      </c>
      <c r="U250" s="42">
        <f t="shared" si="101"/>
        <v>4</v>
      </c>
      <c r="V250" s="42">
        <f t="shared" si="102"/>
        <v>1</v>
      </c>
      <c r="W250" s="42">
        <f t="shared" si="103"/>
        <v>4</v>
      </c>
      <c r="X250" s="42">
        <f t="shared" si="104"/>
        <v>1</v>
      </c>
      <c r="Y250" s="42">
        <f t="shared" si="105"/>
        <v>2</v>
      </c>
      <c r="Z250" s="42">
        <f t="shared" si="106"/>
        <v>0</v>
      </c>
      <c r="AA250" s="52">
        <f t="shared" si="107"/>
        <v>22</v>
      </c>
      <c r="AB250" s="53">
        <f t="shared" si="108"/>
        <v>55</v>
      </c>
    </row>
    <row r="251" ht="15.75" customHeight="1">
      <c r="B251" s="43">
        <v>7.0</v>
      </c>
      <c r="C251" s="57" t="s">
        <v>207</v>
      </c>
      <c r="D251" s="43">
        <v>29.0</v>
      </c>
      <c r="E251" s="43" t="s">
        <v>200</v>
      </c>
      <c r="F251" s="47">
        <v>3.0</v>
      </c>
      <c r="G251" s="47">
        <v>2.0</v>
      </c>
      <c r="H251" s="47">
        <v>1.0</v>
      </c>
      <c r="I251" s="47">
        <v>1.0</v>
      </c>
      <c r="J251" s="47">
        <v>5.0</v>
      </c>
      <c r="K251" s="47">
        <v>3.0</v>
      </c>
      <c r="L251" s="47">
        <v>4.0</v>
      </c>
      <c r="M251" s="47">
        <v>4.0</v>
      </c>
      <c r="N251" s="47">
        <v>2.0</v>
      </c>
      <c r="O251" s="47">
        <v>1.0</v>
      </c>
      <c r="P251" s="37"/>
      <c r="Q251" s="42">
        <f t="shared" si="97"/>
        <v>2</v>
      </c>
      <c r="R251" s="42">
        <f t="shared" si="98"/>
        <v>3</v>
      </c>
      <c r="S251" s="42">
        <f t="shared" si="99"/>
        <v>0</v>
      </c>
      <c r="T251" s="42">
        <f t="shared" si="100"/>
        <v>4</v>
      </c>
      <c r="U251" s="42">
        <f t="shared" si="101"/>
        <v>4</v>
      </c>
      <c r="V251" s="42">
        <f t="shared" si="102"/>
        <v>2</v>
      </c>
      <c r="W251" s="42">
        <f t="shared" si="103"/>
        <v>3</v>
      </c>
      <c r="X251" s="42">
        <f t="shared" si="104"/>
        <v>1</v>
      </c>
      <c r="Y251" s="42">
        <f t="shared" si="105"/>
        <v>1</v>
      </c>
      <c r="Z251" s="42">
        <f t="shared" si="106"/>
        <v>4</v>
      </c>
      <c r="AA251" s="52">
        <f t="shared" si="107"/>
        <v>24</v>
      </c>
      <c r="AB251" s="53">
        <f t="shared" si="108"/>
        <v>60</v>
      </c>
    </row>
    <row r="252" ht="15.75" customHeight="1">
      <c r="B252" s="43">
        <v>8.0</v>
      </c>
      <c r="C252" s="57" t="s">
        <v>208</v>
      </c>
      <c r="D252" s="43">
        <v>22.0</v>
      </c>
      <c r="E252" s="43" t="s">
        <v>202</v>
      </c>
      <c r="F252" s="47">
        <v>4.0</v>
      </c>
      <c r="G252" s="47">
        <v>3.0</v>
      </c>
      <c r="H252" s="47">
        <v>3.0</v>
      </c>
      <c r="I252" s="47">
        <v>2.0</v>
      </c>
      <c r="J252" s="47">
        <v>1.0</v>
      </c>
      <c r="K252" s="47">
        <v>5.0</v>
      </c>
      <c r="L252" s="47">
        <v>2.0</v>
      </c>
      <c r="M252" s="47">
        <v>5.0</v>
      </c>
      <c r="N252" s="47">
        <v>3.0</v>
      </c>
      <c r="O252" s="47">
        <v>2.0</v>
      </c>
      <c r="P252" s="37"/>
      <c r="Q252" s="42">
        <f t="shared" si="97"/>
        <v>3</v>
      </c>
      <c r="R252" s="42">
        <f t="shared" si="98"/>
        <v>2</v>
      </c>
      <c r="S252" s="42">
        <f t="shared" si="99"/>
        <v>2</v>
      </c>
      <c r="T252" s="42">
        <f t="shared" si="100"/>
        <v>3</v>
      </c>
      <c r="U252" s="42">
        <f t="shared" si="101"/>
        <v>0</v>
      </c>
      <c r="V252" s="42">
        <f t="shared" si="102"/>
        <v>0</v>
      </c>
      <c r="W252" s="42">
        <f t="shared" si="103"/>
        <v>1</v>
      </c>
      <c r="X252" s="42">
        <f t="shared" si="104"/>
        <v>0</v>
      </c>
      <c r="Y252" s="42">
        <f t="shared" si="105"/>
        <v>2</v>
      </c>
      <c r="Z252" s="42">
        <f t="shared" si="106"/>
        <v>3</v>
      </c>
      <c r="AA252" s="52">
        <f t="shared" si="107"/>
        <v>16</v>
      </c>
      <c r="AB252" s="53">
        <f t="shared" si="108"/>
        <v>40</v>
      </c>
    </row>
    <row r="253" ht="15.75" customHeight="1">
      <c r="B253" s="43">
        <v>9.0</v>
      </c>
      <c r="C253" s="57" t="s">
        <v>209</v>
      </c>
      <c r="D253" s="43">
        <v>31.0</v>
      </c>
      <c r="E253" s="43" t="s">
        <v>200</v>
      </c>
      <c r="F253" s="47">
        <v>5.0</v>
      </c>
      <c r="G253" s="47">
        <v>1.0</v>
      </c>
      <c r="H253" s="47">
        <v>2.0</v>
      </c>
      <c r="I253" s="47">
        <v>3.0</v>
      </c>
      <c r="J253" s="47">
        <v>4.0</v>
      </c>
      <c r="K253" s="47">
        <v>4.0</v>
      </c>
      <c r="L253" s="47">
        <v>1.0</v>
      </c>
      <c r="M253" s="47">
        <v>2.0</v>
      </c>
      <c r="N253" s="47">
        <v>5.0</v>
      </c>
      <c r="O253" s="47">
        <v>1.0</v>
      </c>
      <c r="P253" s="37"/>
      <c r="Q253" s="42">
        <f t="shared" si="97"/>
        <v>4</v>
      </c>
      <c r="R253" s="42">
        <f t="shared" si="98"/>
        <v>4</v>
      </c>
      <c r="S253" s="42">
        <f t="shared" si="99"/>
        <v>1</v>
      </c>
      <c r="T253" s="42">
        <f t="shared" si="100"/>
        <v>2</v>
      </c>
      <c r="U253" s="42">
        <f t="shared" si="101"/>
        <v>3</v>
      </c>
      <c r="V253" s="42">
        <f t="shared" si="102"/>
        <v>1</v>
      </c>
      <c r="W253" s="42">
        <f t="shared" si="103"/>
        <v>0</v>
      </c>
      <c r="X253" s="42">
        <f t="shared" si="104"/>
        <v>3</v>
      </c>
      <c r="Y253" s="42">
        <f t="shared" si="105"/>
        <v>4</v>
      </c>
      <c r="Z253" s="42">
        <f t="shared" si="106"/>
        <v>4</v>
      </c>
      <c r="AA253" s="52">
        <f t="shared" si="107"/>
        <v>26</v>
      </c>
      <c r="AB253" s="53">
        <f t="shared" si="108"/>
        <v>65</v>
      </c>
    </row>
    <row r="254" ht="15.75" customHeight="1">
      <c r="B254" s="43">
        <v>10.0</v>
      </c>
      <c r="C254" s="57" t="s">
        <v>210</v>
      </c>
      <c r="D254" s="43">
        <v>26.0</v>
      </c>
      <c r="E254" s="43" t="s">
        <v>202</v>
      </c>
      <c r="F254" s="47">
        <v>2.0</v>
      </c>
      <c r="G254" s="47">
        <v>4.0</v>
      </c>
      <c r="H254" s="47">
        <v>5.0</v>
      </c>
      <c r="I254" s="47">
        <v>5.0</v>
      </c>
      <c r="J254" s="47">
        <v>3.0</v>
      </c>
      <c r="K254" s="47">
        <v>2.0</v>
      </c>
      <c r="L254" s="47">
        <v>5.0</v>
      </c>
      <c r="M254" s="47">
        <v>3.0</v>
      </c>
      <c r="N254" s="47">
        <v>1.0</v>
      </c>
      <c r="O254" s="47">
        <v>4.0</v>
      </c>
      <c r="P254" s="37"/>
      <c r="Q254" s="42">
        <f t="shared" si="97"/>
        <v>1</v>
      </c>
      <c r="R254" s="42">
        <f t="shared" si="98"/>
        <v>1</v>
      </c>
      <c r="S254" s="42">
        <f t="shared" si="99"/>
        <v>4</v>
      </c>
      <c r="T254" s="42">
        <f t="shared" si="100"/>
        <v>0</v>
      </c>
      <c r="U254" s="42">
        <f t="shared" si="101"/>
        <v>2</v>
      </c>
      <c r="V254" s="42">
        <f t="shared" si="102"/>
        <v>3</v>
      </c>
      <c r="W254" s="42">
        <f t="shared" si="103"/>
        <v>4</v>
      </c>
      <c r="X254" s="42">
        <f t="shared" si="104"/>
        <v>2</v>
      </c>
      <c r="Y254" s="42">
        <f t="shared" si="105"/>
        <v>0</v>
      </c>
      <c r="Z254" s="42">
        <f t="shared" si="106"/>
        <v>1</v>
      </c>
      <c r="AA254" s="52">
        <f t="shared" si="107"/>
        <v>18</v>
      </c>
      <c r="AB254" s="53">
        <f t="shared" si="108"/>
        <v>45</v>
      </c>
    </row>
    <row r="255" ht="15.75" customHeight="1">
      <c r="B255" s="43">
        <v>11.0</v>
      </c>
      <c r="C255" s="57" t="s">
        <v>211</v>
      </c>
      <c r="D255" s="43">
        <v>20.0</v>
      </c>
      <c r="E255" s="43" t="s">
        <v>200</v>
      </c>
      <c r="F255" s="47">
        <v>1.0</v>
      </c>
      <c r="G255" s="47">
        <v>5.0</v>
      </c>
      <c r="H255" s="47">
        <v>1.0</v>
      </c>
      <c r="I255" s="47">
        <v>2.0</v>
      </c>
      <c r="J255" s="47">
        <v>2.0</v>
      </c>
      <c r="K255" s="47">
        <v>1.0</v>
      </c>
      <c r="L255" s="47">
        <v>3.0</v>
      </c>
      <c r="M255" s="47">
        <v>2.0</v>
      </c>
      <c r="N255" s="47">
        <v>4.0</v>
      </c>
      <c r="O255" s="47">
        <v>3.0</v>
      </c>
      <c r="P255" s="37"/>
      <c r="Q255" s="42">
        <f t="shared" si="97"/>
        <v>0</v>
      </c>
      <c r="R255" s="42">
        <f t="shared" si="98"/>
        <v>0</v>
      </c>
      <c r="S255" s="42">
        <f t="shared" si="99"/>
        <v>0</v>
      </c>
      <c r="T255" s="42">
        <f t="shared" si="100"/>
        <v>3</v>
      </c>
      <c r="U255" s="42">
        <f t="shared" si="101"/>
        <v>1</v>
      </c>
      <c r="V255" s="42">
        <f t="shared" si="102"/>
        <v>4</v>
      </c>
      <c r="W255" s="42">
        <f t="shared" si="103"/>
        <v>2</v>
      </c>
      <c r="X255" s="42">
        <f t="shared" si="104"/>
        <v>3</v>
      </c>
      <c r="Y255" s="42">
        <f t="shared" si="105"/>
        <v>3</v>
      </c>
      <c r="Z255" s="42">
        <f t="shared" si="106"/>
        <v>2</v>
      </c>
      <c r="AA255" s="52">
        <f t="shared" si="107"/>
        <v>18</v>
      </c>
      <c r="AB255" s="53">
        <f t="shared" si="108"/>
        <v>45</v>
      </c>
    </row>
    <row r="256" ht="15.75" customHeight="1">
      <c r="B256" s="43">
        <v>12.0</v>
      </c>
      <c r="C256" s="57" t="s">
        <v>212</v>
      </c>
      <c r="D256" s="43">
        <v>24.0</v>
      </c>
      <c r="E256" s="43" t="s">
        <v>202</v>
      </c>
      <c r="F256" s="47">
        <v>3.0</v>
      </c>
      <c r="G256" s="47">
        <v>2.0</v>
      </c>
      <c r="H256" s="47">
        <v>4.0</v>
      </c>
      <c r="I256" s="47">
        <v>1.0</v>
      </c>
      <c r="J256" s="47">
        <v>1.0</v>
      </c>
      <c r="K256" s="47">
        <v>3.0</v>
      </c>
      <c r="L256" s="47">
        <v>2.0</v>
      </c>
      <c r="M256" s="47">
        <v>4.0</v>
      </c>
      <c r="N256" s="47">
        <v>5.0</v>
      </c>
      <c r="O256" s="47">
        <v>5.0</v>
      </c>
      <c r="P256" s="37"/>
      <c r="Q256" s="42">
        <f t="shared" si="97"/>
        <v>2</v>
      </c>
      <c r="R256" s="42">
        <f t="shared" si="98"/>
        <v>3</v>
      </c>
      <c r="S256" s="42">
        <f t="shared" si="99"/>
        <v>3</v>
      </c>
      <c r="T256" s="42">
        <f t="shared" si="100"/>
        <v>4</v>
      </c>
      <c r="U256" s="42">
        <f t="shared" si="101"/>
        <v>0</v>
      </c>
      <c r="V256" s="42">
        <f t="shared" si="102"/>
        <v>2</v>
      </c>
      <c r="W256" s="42">
        <f t="shared" si="103"/>
        <v>1</v>
      </c>
      <c r="X256" s="42">
        <f t="shared" si="104"/>
        <v>1</v>
      </c>
      <c r="Y256" s="42">
        <f t="shared" si="105"/>
        <v>4</v>
      </c>
      <c r="Z256" s="42">
        <f t="shared" si="106"/>
        <v>0</v>
      </c>
      <c r="AA256" s="52">
        <f t="shared" si="107"/>
        <v>20</v>
      </c>
      <c r="AB256" s="53">
        <f t="shared" si="108"/>
        <v>50</v>
      </c>
    </row>
    <row r="257" ht="15.75" customHeight="1">
      <c r="B257" s="43">
        <v>13.0</v>
      </c>
      <c r="C257" s="57" t="s">
        <v>213</v>
      </c>
      <c r="D257" s="43">
        <v>19.0</v>
      </c>
      <c r="E257" s="43" t="s">
        <v>200</v>
      </c>
      <c r="F257" s="47">
        <v>4.0</v>
      </c>
      <c r="G257" s="47">
        <v>1.0</v>
      </c>
      <c r="H257" s="47">
        <v>3.0</v>
      </c>
      <c r="I257" s="47">
        <v>5.0</v>
      </c>
      <c r="J257" s="47">
        <v>5.0</v>
      </c>
      <c r="K257" s="47">
        <v>5.0</v>
      </c>
      <c r="L257" s="47">
        <v>4.0</v>
      </c>
      <c r="M257" s="47">
        <v>1.0</v>
      </c>
      <c r="N257" s="47">
        <v>3.0</v>
      </c>
      <c r="O257" s="47">
        <v>2.0</v>
      </c>
      <c r="P257" s="37"/>
      <c r="Q257" s="42">
        <f t="shared" si="97"/>
        <v>3</v>
      </c>
      <c r="R257" s="42">
        <f t="shared" si="98"/>
        <v>4</v>
      </c>
      <c r="S257" s="42">
        <f t="shared" si="99"/>
        <v>2</v>
      </c>
      <c r="T257" s="42">
        <f t="shared" si="100"/>
        <v>0</v>
      </c>
      <c r="U257" s="42">
        <f t="shared" si="101"/>
        <v>4</v>
      </c>
      <c r="V257" s="42">
        <f t="shared" si="102"/>
        <v>0</v>
      </c>
      <c r="W257" s="42">
        <f t="shared" si="103"/>
        <v>3</v>
      </c>
      <c r="X257" s="42">
        <f t="shared" si="104"/>
        <v>4</v>
      </c>
      <c r="Y257" s="42">
        <f t="shared" si="105"/>
        <v>2</v>
      </c>
      <c r="Z257" s="42">
        <f t="shared" si="106"/>
        <v>3</v>
      </c>
      <c r="AA257" s="52">
        <f t="shared" si="107"/>
        <v>25</v>
      </c>
      <c r="AB257" s="53">
        <f t="shared" si="108"/>
        <v>62.5</v>
      </c>
    </row>
    <row r="258" ht="15.75" customHeight="1">
      <c r="B258" s="43">
        <v>14.0</v>
      </c>
      <c r="C258" s="57" t="s">
        <v>214</v>
      </c>
      <c r="D258" s="43">
        <v>34.0</v>
      </c>
      <c r="E258" s="43" t="s">
        <v>202</v>
      </c>
      <c r="F258" s="47">
        <v>5.0</v>
      </c>
      <c r="G258" s="47">
        <v>3.0</v>
      </c>
      <c r="H258" s="47">
        <v>1.0</v>
      </c>
      <c r="I258" s="47">
        <v>4.0</v>
      </c>
      <c r="J258" s="47">
        <v>3.0</v>
      </c>
      <c r="K258" s="47">
        <v>2.0</v>
      </c>
      <c r="L258" s="47">
        <v>1.0</v>
      </c>
      <c r="M258" s="47">
        <v>2.0</v>
      </c>
      <c r="N258" s="47">
        <v>5.0</v>
      </c>
      <c r="O258" s="47">
        <v>4.0</v>
      </c>
      <c r="P258" s="37"/>
      <c r="Q258" s="42">
        <f t="shared" si="97"/>
        <v>4</v>
      </c>
      <c r="R258" s="42">
        <f t="shared" si="98"/>
        <v>2</v>
      </c>
      <c r="S258" s="42">
        <f t="shared" si="99"/>
        <v>0</v>
      </c>
      <c r="T258" s="42">
        <f t="shared" si="100"/>
        <v>1</v>
      </c>
      <c r="U258" s="42">
        <f t="shared" si="101"/>
        <v>2</v>
      </c>
      <c r="V258" s="42">
        <f t="shared" si="102"/>
        <v>3</v>
      </c>
      <c r="W258" s="42">
        <f t="shared" si="103"/>
        <v>0</v>
      </c>
      <c r="X258" s="42">
        <f t="shared" si="104"/>
        <v>3</v>
      </c>
      <c r="Y258" s="42">
        <f t="shared" si="105"/>
        <v>4</v>
      </c>
      <c r="Z258" s="42">
        <f t="shared" si="106"/>
        <v>1</v>
      </c>
      <c r="AA258" s="52">
        <f t="shared" si="107"/>
        <v>20</v>
      </c>
      <c r="AB258" s="53">
        <f t="shared" si="108"/>
        <v>50</v>
      </c>
    </row>
    <row r="259" ht="15.75" customHeight="1">
      <c r="B259" s="43">
        <v>15.0</v>
      </c>
      <c r="C259" s="57" t="s">
        <v>215</v>
      </c>
      <c r="D259" s="43">
        <v>18.0</v>
      </c>
      <c r="E259" s="43" t="s">
        <v>200</v>
      </c>
      <c r="F259" s="47">
        <v>2.0</v>
      </c>
      <c r="G259" s="47">
        <v>5.0</v>
      </c>
      <c r="H259" s="47">
        <v>2.0</v>
      </c>
      <c r="I259" s="47">
        <v>3.0</v>
      </c>
      <c r="J259" s="47">
        <v>4.0</v>
      </c>
      <c r="K259" s="47">
        <v>1.0</v>
      </c>
      <c r="L259" s="47">
        <v>5.0</v>
      </c>
      <c r="M259" s="47">
        <v>3.0</v>
      </c>
      <c r="N259" s="47">
        <v>1.0</v>
      </c>
      <c r="O259" s="47">
        <v>1.0</v>
      </c>
      <c r="P259" s="37"/>
      <c r="Q259" s="42">
        <f t="shared" si="97"/>
        <v>1</v>
      </c>
      <c r="R259" s="42">
        <f t="shared" si="98"/>
        <v>0</v>
      </c>
      <c r="S259" s="42">
        <f t="shared" si="99"/>
        <v>1</v>
      </c>
      <c r="T259" s="42">
        <f t="shared" si="100"/>
        <v>2</v>
      </c>
      <c r="U259" s="42">
        <f t="shared" si="101"/>
        <v>3</v>
      </c>
      <c r="V259" s="42">
        <f t="shared" si="102"/>
        <v>4</v>
      </c>
      <c r="W259" s="42">
        <f t="shared" si="103"/>
        <v>4</v>
      </c>
      <c r="X259" s="42">
        <f t="shared" si="104"/>
        <v>2</v>
      </c>
      <c r="Y259" s="42">
        <f t="shared" si="105"/>
        <v>0</v>
      </c>
      <c r="Z259" s="42">
        <f t="shared" si="106"/>
        <v>4</v>
      </c>
      <c r="AA259" s="52">
        <f t="shared" si="107"/>
        <v>21</v>
      </c>
      <c r="AB259" s="53">
        <f t="shared" si="108"/>
        <v>52.5</v>
      </c>
    </row>
    <row r="260" ht="15.75" customHeight="1">
      <c r="B260" s="43">
        <v>16.0</v>
      </c>
      <c r="C260" s="57" t="s">
        <v>216</v>
      </c>
      <c r="D260" s="43">
        <v>17.0</v>
      </c>
      <c r="E260" s="43" t="s">
        <v>202</v>
      </c>
      <c r="F260" s="47">
        <v>1.0</v>
      </c>
      <c r="G260" s="47">
        <v>4.0</v>
      </c>
      <c r="H260" s="47">
        <v>3.0</v>
      </c>
      <c r="I260" s="47">
        <v>2.0</v>
      </c>
      <c r="J260" s="47">
        <v>1.0</v>
      </c>
      <c r="K260" s="47">
        <v>4.0</v>
      </c>
      <c r="L260" s="47">
        <v>3.0</v>
      </c>
      <c r="M260" s="47">
        <v>5.0</v>
      </c>
      <c r="N260" s="47">
        <v>2.0</v>
      </c>
      <c r="O260" s="47">
        <v>3.0</v>
      </c>
      <c r="P260" s="37"/>
      <c r="Q260" s="42">
        <f t="shared" si="97"/>
        <v>0</v>
      </c>
      <c r="R260" s="42">
        <f t="shared" si="98"/>
        <v>1</v>
      </c>
      <c r="S260" s="42">
        <f t="shared" si="99"/>
        <v>2</v>
      </c>
      <c r="T260" s="42">
        <f t="shared" si="100"/>
        <v>3</v>
      </c>
      <c r="U260" s="42">
        <f t="shared" si="101"/>
        <v>0</v>
      </c>
      <c r="V260" s="42">
        <f t="shared" si="102"/>
        <v>1</v>
      </c>
      <c r="W260" s="42">
        <f t="shared" si="103"/>
        <v>2</v>
      </c>
      <c r="X260" s="42">
        <f t="shared" si="104"/>
        <v>0</v>
      </c>
      <c r="Y260" s="42">
        <f t="shared" si="105"/>
        <v>1</v>
      </c>
      <c r="Z260" s="42">
        <f t="shared" si="106"/>
        <v>2</v>
      </c>
      <c r="AA260" s="52">
        <f t="shared" si="107"/>
        <v>12</v>
      </c>
      <c r="AB260" s="53">
        <f t="shared" si="108"/>
        <v>30</v>
      </c>
    </row>
    <row r="261" ht="15.75" customHeight="1">
      <c r="B261" s="43">
        <v>17.0</v>
      </c>
      <c r="C261" s="57" t="s">
        <v>217</v>
      </c>
      <c r="D261" s="43">
        <v>35.0</v>
      </c>
      <c r="E261" s="43" t="s">
        <v>200</v>
      </c>
      <c r="F261" s="47">
        <v>3.0</v>
      </c>
      <c r="G261" s="47">
        <v>1.0</v>
      </c>
      <c r="H261" s="47">
        <v>5.0</v>
      </c>
      <c r="I261" s="47">
        <v>4.0</v>
      </c>
      <c r="J261" s="47">
        <v>2.0</v>
      </c>
      <c r="K261" s="47">
        <v>3.0</v>
      </c>
      <c r="L261" s="47">
        <v>2.0</v>
      </c>
      <c r="M261" s="47">
        <v>5.0</v>
      </c>
      <c r="N261" s="47">
        <v>4.0</v>
      </c>
      <c r="O261" s="47">
        <v>1.0</v>
      </c>
      <c r="P261" s="37"/>
      <c r="Q261" s="42">
        <f t="shared" si="97"/>
        <v>2</v>
      </c>
      <c r="R261" s="42">
        <f t="shared" si="98"/>
        <v>4</v>
      </c>
      <c r="S261" s="42">
        <f t="shared" si="99"/>
        <v>4</v>
      </c>
      <c r="T261" s="42">
        <f t="shared" si="100"/>
        <v>1</v>
      </c>
      <c r="U261" s="42">
        <f t="shared" si="101"/>
        <v>1</v>
      </c>
      <c r="V261" s="42">
        <f t="shared" si="102"/>
        <v>2</v>
      </c>
      <c r="W261" s="42">
        <f t="shared" si="103"/>
        <v>1</v>
      </c>
      <c r="X261" s="42">
        <f t="shared" si="104"/>
        <v>0</v>
      </c>
      <c r="Y261" s="42">
        <f t="shared" si="105"/>
        <v>3</v>
      </c>
      <c r="Z261" s="42">
        <f t="shared" si="106"/>
        <v>4</v>
      </c>
      <c r="AA261" s="52">
        <f t="shared" si="107"/>
        <v>22</v>
      </c>
      <c r="AB261" s="53">
        <f t="shared" si="108"/>
        <v>55</v>
      </c>
    </row>
    <row r="262" ht="15.75" customHeight="1">
      <c r="B262" s="43">
        <v>18.0</v>
      </c>
      <c r="C262" s="57" t="s">
        <v>218</v>
      </c>
      <c r="D262" s="43">
        <v>15.0</v>
      </c>
      <c r="E262" s="43" t="s">
        <v>202</v>
      </c>
      <c r="F262" s="47">
        <v>2.0</v>
      </c>
      <c r="G262" s="47">
        <v>2.0</v>
      </c>
      <c r="H262" s="47">
        <v>4.0</v>
      </c>
      <c r="I262" s="47">
        <v>5.0</v>
      </c>
      <c r="J262" s="47">
        <v>1.0</v>
      </c>
      <c r="K262" s="47">
        <v>2.0</v>
      </c>
      <c r="L262" s="47">
        <v>3.0</v>
      </c>
      <c r="M262" s="47">
        <v>4.0</v>
      </c>
      <c r="N262" s="47">
        <v>1.0</v>
      </c>
      <c r="O262" s="47">
        <v>5.0</v>
      </c>
      <c r="P262" s="37"/>
      <c r="Q262" s="42">
        <f t="shared" si="97"/>
        <v>1</v>
      </c>
      <c r="R262" s="42">
        <f t="shared" si="98"/>
        <v>3</v>
      </c>
      <c r="S262" s="42">
        <f t="shared" si="99"/>
        <v>3</v>
      </c>
      <c r="T262" s="42">
        <f t="shared" si="100"/>
        <v>0</v>
      </c>
      <c r="U262" s="42">
        <f t="shared" si="101"/>
        <v>0</v>
      </c>
      <c r="V262" s="42">
        <f t="shared" si="102"/>
        <v>3</v>
      </c>
      <c r="W262" s="42">
        <f t="shared" si="103"/>
        <v>2</v>
      </c>
      <c r="X262" s="42">
        <f t="shared" si="104"/>
        <v>1</v>
      </c>
      <c r="Y262" s="42">
        <f t="shared" si="105"/>
        <v>0</v>
      </c>
      <c r="Z262" s="42">
        <f t="shared" si="106"/>
        <v>0</v>
      </c>
      <c r="AA262" s="52">
        <f t="shared" si="107"/>
        <v>13</v>
      </c>
      <c r="AB262" s="53">
        <f t="shared" si="108"/>
        <v>32.5</v>
      </c>
    </row>
    <row r="263" ht="15.75" customHeight="1">
      <c r="B263" s="43">
        <v>19.0</v>
      </c>
      <c r="C263" s="57" t="s">
        <v>219</v>
      </c>
      <c r="D263" s="43">
        <v>27.0</v>
      </c>
      <c r="E263" s="43" t="s">
        <v>200</v>
      </c>
      <c r="F263" s="47">
        <v>4.0</v>
      </c>
      <c r="G263" s="47">
        <v>5.0</v>
      </c>
      <c r="H263" s="47">
        <v>1.0</v>
      </c>
      <c r="I263" s="47">
        <v>1.0</v>
      </c>
      <c r="J263" s="47">
        <v>3.0</v>
      </c>
      <c r="K263" s="47">
        <v>5.0</v>
      </c>
      <c r="L263" s="47">
        <v>4.0</v>
      </c>
      <c r="M263" s="47">
        <v>1.0</v>
      </c>
      <c r="N263" s="47">
        <v>3.0</v>
      </c>
      <c r="O263" s="47">
        <v>2.0</v>
      </c>
      <c r="P263" s="37"/>
      <c r="Q263" s="42">
        <f t="shared" si="97"/>
        <v>3</v>
      </c>
      <c r="R263" s="42">
        <f t="shared" si="98"/>
        <v>0</v>
      </c>
      <c r="S263" s="42">
        <f t="shared" si="99"/>
        <v>0</v>
      </c>
      <c r="T263" s="42">
        <f t="shared" si="100"/>
        <v>4</v>
      </c>
      <c r="U263" s="42">
        <f t="shared" si="101"/>
        <v>2</v>
      </c>
      <c r="V263" s="42">
        <f t="shared" si="102"/>
        <v>0</v>
      </c>
      <c r="W263" s="42">
        <f t="shared" si="103"/>
        <v>3</v>
      </c>
      <c r="X263" s="42">
        <f t="shared" si="104"/>
        <v>4</v>
      </c>
      <c r="Y263" s="42">
        <f t="shared" si="105"/>
        <v>2</v>
      </c>
      <c r="Z263" s="42">
        <f t="shared" si="106"/>
        <v>3</v>
      </c>
      <c r="AA263" s="52">
        <f t="shared" si="107"/>
        <v>21</v>
      </c>
      <c r="AB263" s="53">
        <f t="shared" si="108"/>
        <v>52.5</v>
      </c>
    </row>
    <row r="264" ht="15.75" customHeight="1">
      <c r="B264" s="43">
        <v>20.0</v>
      </c>
      <c r="C264" s="57" t="s">
        <v>220</v>
      </c>
      <c r="D264" s="43">
        <v>23.0</v>
      </c>
      <c r="E264" s="43" t="s">
        <v>202</v>
      </c>
      <c r="F264" s="47">
        <v>5.0</v>
      </c>
      <c r="G264" s="47">
        <v>2.0</v>
      </c>
      <c r="H264" s="47">
        <v>2.0</v>
      </c>
      <c r="I264" s="47">
        <v>3.0</v>
      </c>
      <c r="J264" s="47">
        <v>4.0</v>
      </c>
      <c r="K264" s="47">
        <v>1.0</v>
      </c>
      <c r="L264" s="47">
        <v>5.0</v>
      </c>
      <c r="M264" s="47">
        <v>2.0</v>
      </c>
      <c r="N264" s="47">
        <v>4.0</v>
      </c>
      <c r="O264" s="47">
        <v>3.0</v>
      </c>
      <c r="P264" s="37"/>
      <c r="Q264" s="42">
        <f t="shared" si="97"/>
        <v>4</v>
      </c>
      <c r="R264" s="42">
        <f t="shared" si="98"/>
        <v>3</v>
      </c>
      <c r="S264" s="42">
        <f t="shared" si="99"/>
        <v>1</v>
      </c>
      <c r="T264" s="42">
        <f t="shared" si="100"/>
        <v>2</v>
      </c>
      <c r="U264" s="42">
        <f t="shared" si="101"/>
        <v>3</v>
      </c>
      <c r="V264" s="42">
        <f t="shared" si="102"/>
        <v>4</v>
      </c>
      <c r="W264" s="42">
        <f t="shared" si="103"/>
        <v>4</v>
      </c>
      <c r="X264" s="42">
        <f t="shared" si="104"/>
        <v>3</v>
      </c>
      <c r="Y264" s="42">
        <f t="shared" si="105"/>
        <v>3</v>
      </c>
      <c r="Z264" s="42">
        <f t="shared" si="106"/>
        <v>2</v>
      </c>
      <c r="AA264" s="52">
        <f t="shared" si="107"/>
        <v>29</v>
      </c>
      <c r="AB264" s="53">
        <f t="shared" si="108"/>
        <v>72.5</v>
      </c>
    </row>
    <row r="265" ht="15.75" customHeight="1">
      <c r="B265" s="43">
        <v>21.0</v>
      </c>
      <c r="C265" s="57" t="s">
        <v>221</v>
      </c>
      <c r="D265" s="43">
        <v>31.0</v>
      </c>
      <c r="E265" s="43" t="s">
        <v>202</v>
      </c>
      <c r="F265" s="47">
        <v>4.0</v>
      </c>
      <c r="G265" s="47">
        <v>1.0</v>
      </c>
      <c r="H265" s="47">
        <v>3.0</v>
      </c>
      <c r="I265" s="47">
        <v>5.0</v>
      </c>
      <c r="J265" s="47">
        <v>5.0</v>
      </c>
      <c r="K265" s="47">
        <v>5.0</v>
      </c>
      <c r="L265" s="47">
        <v>4.0</v>
      </c>
      <c r="M265" s="47">
        <v>1.0</v>
      </c>
      <c r="N265" s="47">
        <v>3.0</v>
      </c>
      <c r="O265" s="47">
        <v>2.0</v>
      </c>
      <c r="P265" s="37"/>
      <c r="Q265" s="42">
        <f t="shared" si="97"/>
        <v>3</v>
      </c>
      <c r="R265" s="42">
        <f t="shared" si="98"/>
        <v>4</v>
      </c>
      <c r="S265" s="42">
        <f t="shared" si="99"/>
        <v>2</v>
      </c>
      <c r="T265" s="42">
        <f t="shared" si="100"/>
        <v>0</v>
      </c>
      <c r="U265" s="42">
        <f t="shared" si="101"/>
        <v>4</v>
      </c>
      <c r="V265" s="42">
        <f t="shared" si="102"/>
        <v>0</v>
      </c>
      <c r="W265" s="42">
        <f t="shared" si="103"/>
        <v>3</v>
      </c>
      <c r="X265" s="42">
        <f t="shared" si="104"/>
        <v>4</v>
      </c>
      <c r="Y265" s="42">
        <f t="shared" si="105"/>
        <v>2</v>
      </c>
      <c r="Z265" s="42">
        <f t="shared" si="106"/>
        <v>3</v>
      </c>
      <c r="AA265" s="52">
        <f t="shared" si="107"/>
        <v>25</v>
      </c>
      <c r="AB265" s="53">
        <f t="shared" si="108"/>
        <v>62.5</v>
      </c>
    </row>
    <row r="266" ht="15.75" customHeight="1">
      <c r="B266" s="43">
        <v>22.0</v>
      </c>
      <c r="C266" s="57" t="s">
        <v>222</v>
      </c>
      <c r="D266" s="43">
        <v>26.0</v>
      </c>
      <c r="E266" s="43" t="s">
        <v>200</v>
      </c>
      <c r="F266" s="47">
        <v>5.0</v>
      </c>
      <c r="G266" s="47">
        <v>3.0</v>
      </c>
      <c r="H266" s="47">
        <v>1.0</v>
      </c>
      <c r="I266" s="47">
        <v>4.0</v>
      </c>
      <c r="J266" s="47">
        <v>3.0</v>
      </c>
      <c r="K266" s="47">
        <v>2.0</v>
      </c>
      <c r="L266" s="47">
        <v>1.0</v>
      </c>
      <c r="M266" s="47">
        <v>2.0</v>
      </c>
      <c r="N266" s="47">
        <v>5.0</v>
      </c>
      <c r="O266" s="47">
        <v>4.0</v>
      </c>
      <c r="P266" s="37"/>
      <c r="Q266" s="42">
        <f t="shared" si="97"/>
        <v>4</v>
      </c>
      <c r="R266" s="42">
        <f t="shared" si="98"/>
        <v>2</v>
      </c>
      <c r="S266" s="42">
        <f t="shared" si="99"/>
        <v>0</v>
      </c>
      <c r="T266" s="42">
        <f t="shared" si="100"/>
        <v>1</v>
      </c>
      <c r="U266" s="42">
        <f t="shared" si="101"/>
        <v>2</v>
      </c>
      <c r="V266" s="42">
        <f t="shared" si="102"/>
        <v>3</v>
      </c>
      <c r="W266" s="42">
        <f t="shared" si="103"/>
        <v>0</v>
      </c>
      <c r="X266" s="42">
        <f t="shared" si="104"/>
        <v>3</v>
      </c>
      <c r="Y266" s="42">
        <f t="shared" si="105"/>
        <v>4</v>
      </c>
      <c r="Z266" s="42">
        <f t="shared" si="106"/>
        <v>1</v>
      </c>
      <c r="AA266" s="52">
        <f t="shared" si="107"/>
        <v>20</v>
      </c>
      <c r="AB266" s="53">
        <f t="shared" si="108"/>
        <v>50</v>
      </c>
    </row>
    <row r="267" ht="15.75" customHeight="1">
      <c r="B267" s="43">
        <v>23.0</v>
      </c>
      <c r="C267" s="57" t="s">
        <v>223</v>
      </c>
      <c r="D267" s="43">
        <v>20.0</v>
      </c>
      <c r="E267" s="43" t="s">
        <v>202</v>
      </c>
      <c r="F267" s="47">
        <v>2.0</v>
      </c>
      <c r="G267" s="47">
        <v>5.0</v>
      </c>
      <c r="H267" s="47">
        <v>2.0</v>
      </c>
      <c r="I267" s="47">
        <v>3.0</v>
      </c>
      <c r="J267" s="47">
        <v>4.0</v>
      </c>
      <c r="K267" s="47">
        <v>1.0</v>
      </c>
      <c r="L267" s="47">
        <v>5.0</v>
      </c>
      <c r="M267" s="47">
        <v>3.0</v>
      </c>
      <c r="N267" s="47">
        <v>1.0</v>
      </c>
      <c r="O267" s="47">
        <v>1.0</v>
      </c>
      <c r="P267" s="37"/>
      <c r="Q267" s="42">
        <f t="shared" si="97"/>
        <v>1</v>
      </c>
      <c r="R267" s="42">
        <f t="shared" si="98"/>
        <v>0</v>
      </c>
      <c r="S267" s="42">
        <f t="shared" si="99"/>
        <v>1</v>
      </c>
      <c r="T267" s="42">
        <f t="shared" si="100"/>
        <v>2</v>
      </c>
      <c r="U267" s="42">
        <f t="shared" si="101"/>
        <v>3</v>
      </c>
      <c r="V267" s="42">
        <f t="shared" si="102"/>
        <v>4</v>
      </c>
      <c r="W267" s="42">
        <f t="shared" si="103"/>
        <v>4</v>
      </c>
      <c r="X267" s="42">
        <f t="shared" si="104"/>
        <v>2</v>
      </c>
      <c r="Y267" s="42">
        <f t="shared" si="105"/>
        <v>0</v>
      </c>
      <c r="Z267" s="42">
        <f t="shared" si="106"/>
        <v>4</v>
      </c>
      <c r="AA267" s="52">
        <f t="shared" si="107"/>
        <v>21</v>
      </c>
      <c r="AB267" s="53">
        <f t="shared" si="108"/>
        <v>52.5</v>
      </c>
    </row>
    <row r="268" ht="15.75" customHeight="1">
      <c r="B268" s="43">
        <v>24.0</v>
      </c>
      <c r="C268" s="57" t="s">
        <v>224</v>
      </c>
      <c r="D268" s="43">
        <v>24.0</v>
      </c>
      <c r="E268" s="43" t="s">
        <v>200</v>
      </c>
      <c r="F268" s="47">
        <v>1.0</v>
      </c>
      <c r="G268" s="47">
        <v>4.0</v>
      </c>
      <c r="H268" s="47">
        <v>3.0</v>
      </c>
      <c r="I268" s="47">
        <v>2.0</v>
      </c>
      <c r="J268" s="47">
        <v>1.0</v>
      </c>
      <c r="K268" s="47">
        <v>4.0</v>
      </c>
      <c r="L268" s="47">
        <v>3.0</v>
      </c>
      <c r="M268" s="47">
        <v>5.0</v>
      </c>
      <c r="N268" s="47">
        <v>2.0</v>
      </c>
      <c r="O268" s="47">
        <v>3.0</v>
      </c>
      <c r="P268" s="37"/>
      <c r="Q268" s="42">
        <f t="shared" si="97"/>
        <v>0</v>
      </c>
      <c r="R268" s="42">
        <f t="shared" si="98"/>
        <v>1</v>
      </c>
      <c r="S268" s="42">
        <f t="shared" si="99"/>
        <v>2</v>
      </c>
      <c r="T268" s="42">
        <f t="shared" si="100"/>
        <v>3</v>
      </c>
      <c r="U268" s="42">
        <f t="shared" si="101"/>
        <v>0</v>
      </c>
      <c r="V268" s="42">
        <f t="shared" si="102"/>
        <v>1</v>
      </c>
      <c r="W268" s="42">
        <f t="shared" si="103"/>
        <v>2</v>
      </c>
      <c r="X268" s="42">
        <f t="shared" si="104"/>
        <v>0</v>
      </c>
      <c r="Y268" s="42">
        <f t="shared" si="105"/>
        <v>1</v>
      </c>
      <c r="Z268" s="42">
        <f t="shared" si="106"/>
        <v>2</v>
      </c>
      <c r="AA268" s="52">
        <f t="shared" si="107"/>
        <v>12</v>
      </c>
      <c r="AB268" s="53">
        <f t="shared" si="108"/>
        <v>30</v>
      </c>
    </row>
    <row r="269" ht="15.75" customHeight="1">
      <c r="B269" s="43">
        <v>25.0</v>
      </c>
      <c r="C269" s="57" t="s">
        <v>225</v>
      </c>
      <c r="D269" s="43">
        <v>19.0</v>
      </c>
      <c r="E269" s="43" t="s">
        <v>202</v>
      </c>
      <c r="F269" s="47">
        <v>3.0</v>
      </c>
      <c r="G269" s="47">
        <v>1.0</v>
      </c>
      <c r="H269" s="47">
        <v>5.0</v>
      </c>
      <c r="I269" s="47">
        <v>4.0</v>
      </c>
      <c r="J269" s="47">
        <v>2.0</v>
      </c>
      <c r="K269" s="47">
        <v>3.0</v>
      </c>
      <c r="L269" s="47">
        <v>2.0</v>
      </c>
      <c r="M269" s="47">
        <v>5.0</v>
      </c>
      <c r="N269" s="47">
        <v>4.0</v>
      </c>
      <c r="O269" s="47">
        <v>1.0</v>
      </c>
      <c r="P269" s="37"/>
      <c r="Q269" s="42">
        <f t="shared" si="97"/>
        <v>2</v>
      </c>
      <c r="R269" s="42">
        <f t="shared" si="98"/>
        <v>4</v>
      </c>
      <c r="S269" s="42">
        <f t="shared" si="99"/>
        <v>4</v>
      </c>
      <c r="T269" s="42">
        <f t="shared" si="100"/>
        <v>1</v>
      </c>
      <c r="U269" s="42">
        <f t="shared" si="101"/>
        <v>1</v>
      </c>
      <c r="V269" s="42">
        <f t="shared" si="102"/>
        <v>2</v>
      </c>
      <c r="W269" s="42">
        <f t="shared" si="103"/>
        <v>1</v>
      </c>
      <c r="X269" s="42">
        <f t="shared" si="104"/>
        <v>0</v>
      </c>
      <c r="Y269" s="42">
        <f t="shared" si="105"/>
        <v>3</v>
      </c>
      <c r="Z269" s="42">
        <f t="shared" si="106"/>
        <v>4</v>
      </c>
      <c r="AA269" s="52">
        <f t="shared" si="107"/>
        <v>22</v>
      </c>
      <c r="AB269" s="53">
        <f t="shared" si="108"/>
        <v>55</v>
      </c>
    </row>
    <row r="270" ht="15.75" customHeight="1">
      <c r="B270" s="54"/>
      <c r="C270" s="41" t="s">
        <v>226</v>
      </c>
      <c r="D270" s="55">
        <f>AVERAGE(D245:D269)</f>
        <v>23.88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37"/>
      <c r="Q270" s="38" t="s">
        <v>227</v>
      </c>
      <c r="R270" s="35"/>
      <c r="S270" s="35"/>
      <c r="T270" s="35"/>
      <c r="U270" s="35"/>
      <c r="V270" s="35"/>
      <c r="W270" s="35"/>
      <c r="X270" s="35"/>
      <c r="Y270" s="35"/>
      <c r="Z270" s="35"/>
      <c r="AA270" s="36"/>
      <c r="AB270" s="56">
        <f>AVERAGE(AB245:AB269)</f>
        <v>52.5</v>
      </c>
    </row>
    <row r="271" ht="15.75" customHeight="1"/>
    <row r="272" ht="30.0" customHeight="1">
      <c r="A272" s="32" t="s">
        <v>237</v>
      </c>
    </row>
    <row r="273" ht="15.75" customHeight="1">
      <c r="B273" s="33" t="s">
        <v>181</v>
      </c>
      <c r="C273" s="33" t="s">
        <v>182</v>
      </c>
      <c r="D273" s="33" t="s">
        <v>183</v>
      </c>
      <c r="E273" s="33" t="s">
        <v>184</v>
      </c>
      <c r="F273" s="34" t="s">
        <v>185</v>
      </c>
      <c r="G273" s="35"/>
      <c r="H273" s="35"/>
      <c r="I273" s="35"/>
      <c r="J273" s="35"/>
      <c r="K273" s="35"/>
      <c r="L273" s="35"/>
      <c r="M273" s="35"/>
      <c r="N273" s="35"/>
      <c r="O273" s="36"/>
      <c r="P273" s="37"/>
      <c r="Q273" s="38" t="s">
        <v>186</v>
      </c>
      <c r="R273" s="35"/>
      <c r="S273" s="35"/>
      <c r="T273" s="35"/>
      <c r="U273" s="35"/>
      <c r="V273" s="35"/>
      <c r="W273" s="35"/>
      <c r="X273" s="35"/>
      <c r="Y273" s="35"/>
      <c r="Z273" s="36"/>
      <c r="AA273" s="33" t="s">
        <v>187</v>
      </c>
      <c r="AB273" s="39" t="s">
        <v>188</v>
      </c>
    </row>
    <row r="274" ht="15.75" customHeight="1">
      <c r="B274" s="40"/>
      <c r="C274" s="40"/>
      <c r="D274" s="40"/>
      <c r="E274" s="40"/>
      <c r="F274" s="41" t="s">
        <v>189</v>
      </c>
      <c r="G274" s="41" t="s">
        <v>190</v>
      </c>
      <c r="H274" s="41" t="s">
        <v>191</v>
      </c>
      <c r="I274" s="41" t="s">
        <v>192</v>
      </c>
      <c r="J274" s="41" t="s">
        <v>193</v>
      </c>
      <c r="K274" s="41" t="s">
        <v>194</v>
      </c>
      <c r="L274" s="41" t="s">
        <v>195</v>
      </c>
      <c r="M274" s="41" t="s">
        <v>196</v>
      </c>
      <c r="N274" s="41" t="s">
        <v>197</v>
      </c>
      <c r="O274" s="41" t="s">
        <v>198</v>
      </c>
      <c r="P274" s="37"/>
      <c r="Q274" s="42" t="s">
        <v>189</v>
      </c>
      <c r="R274" s="42" t="s">
        <v>190</v>
      </c>
      <c r="S274" s="42" t="s">
        <v>191</v>
      </c>
      <c r="T274" s="42" t="s">
        <v>192</v>
      </c>
      <c r="U274" s="42" t="s">
        <v>193</v>
      </c>
      <c r="V274" s="42" t="s">
        <v>194</v>
      </c>
      <c r="W274" s="42" t="s">
        <v>195</v>
      </c>
      <c r="X274" s="42" t="s">
        <v>196</v>
      </c>
      <c r="Y274" s="42" t="s">
        <v>197</v>
      </c>
      <c r="Z274" s="42" t="s">
        <v>198</v>
      </c>
      <c r="AA274" s="40"/>
      <c r="AB274" s="40"/>
    </row>
    <row r="275" ht="15.75" customHeight="1">
      <c r="B275" s="43">
        <v>1.0</v>
      </c>
      <c r="C275" s="57" t="s">
        <v>199</v>
      </c>
      <c r="D275" s="43">
        <v>19.0</v>
      </c>
      <c r="E275" s="43" t="s">
        <v>234</v>
      </c>
      <c r="F275" s="47">
        <v>4.0</v>
      </c>
      <c r="G275" s="47">
        <v>5.0</v>
      </c>
      <c r="H275" s="47">
        <v>4.0</v>
      </c>
      <c r="I275" s="47">
        <v>4.0</v>
      </c>
      <c r="J275" s="47">
        <v>5.0</v>
      </c>
      <c r="K275" s="47">
        <v>4.0</v>
      </c>
      <c r="L275" s="47">
        <v>5.0</v>
      </c>
      <c r="M275" s="47">
        <v>4.0</v>
      </c>
      <c r="N275" s="47">
        <v>5.0</v>
      </c>
      <c r="O275" s="47">
        <v>4.0</v>
      </c>
      <c r="P275" s="37"/>
      <c r="Q275" s="51">
        <f t="shared" ref="Q275:Q299" si="109">F275-1</f>
        <v>3</v>
      </c>
      <c r="R275" s="51">
        <f t="shared" ref="R275:R299" si="110">5-G275</f>
        <v>0</v>
      </c>
      <c r="S275" s="51">
        <f t="shared" ref="S275:S299" si="111">H275-1</f>
        <v>3</v>
      </c>
      <c r="T275" s="51">
        <f t="shared" ref="T275:T299" si="112">5-I275</f>
        <v>1</v>
      </c>
      <c r="U275" s="51">
        <f t="shared" ref="U275:U299" si="113">J275-1</f>
        <v>4</v>
      </c>
      <c r="V275" s="51">
        <f t="shared" ref="V275:V299" si="114">5-K275</f>
        <v>1</v>
      </c>
      <c r="W275" s="51">
        <f t="shared" ref="W275:W299" si="115">L275-1</f>
        <v>4</v>
      </c>
      <c r="X275" s="51">
        <f t="shared" ref="X275:X299" si="116">5-M275</f>
        <v>1</v>
      </c>
      <c r="Y275" s="51">
        <f t="shared" ref="Y275:Y299" si="117">N275-1</f>
        <v>4</v>
      </c>
      <c r="Z275" s="51">
        <f t="shared" ref="Z275:Z299" si="118">5-O275</f>
        <v>1</v>
      </c>
      <c r="AA275" s="52">
        <f t="shared" ref="AA275:AA299" si="119">SUM(Q275:Z275)</f>
        <v>22</v>
      </c>
      <c r="AB275" s="53">
        <f t="shared" ref="AB275:AB299" si="120">AA275*2.5</f>
        <v>55</v>
      </c>
    </row>
    <row r="276" ht="15.75" customHeight="1">
      <c r="B276" s="43">
        <v>2.0</v>
      </c>
      <c r="C276" s="57" t="s">
        <v>201</v>
      </c>
      <c r="D276" s="43">
        <v>19.0</v>
      </c>
      <c r="E276" s="43" t="s">
        <v>234</v>
      </c>
      <c r="F276" s="47">
        <v>5.0</v>
      </c>
      <c r="G276" s="47">
        <v>1.0</v>
      </c>
      <c r="H276" s="47">
        <v>5.0</v>
      </c>
      <c r="I276" s="47">
        <v>4.0</v>
      </c>
      <c r="J276" s="47">
        <v>4.0</v>
      </c>
      <c r="K276" s="47">
        <v>3.0</v>
      </c>
      <c r="L276" s="47">
        <v>5.0</v>
      </c>
      <c r="M276" s="47">
        <v>5.0</v>
      </c>
      <c r="N276" s="47">
        <v>5.0</v>
      </c>
      <c r="O276" s="47">
        <v>5.0</v>
      </c>
      <c r="P276" s="37"/>
      <c r="Q276" s="42">
        <f t="shared" si="109"/>
        <v>4</v>
      </c>
      <c r="R276" s="42">
        <f t="shared" si="110"/>
        <v>4</v>
      </c>
      <c r="S276" s="42">
        <f t="shared" si="111"/>
        <v>4</v>
      </c>
      <c r="T276" s="42">
        <f t="shared" si="112"/>
        <v>1</v>
      </c>
      <c r="U276" s="42">
        <f t="shared" si="113"/>
        <v>3</v>
      </c>
      <c r="V276" s="42">
        <f t="shared" si="114"/>
        <v>2</v>
      </c>
      <c r="W276" s="42">
        <f t="shared" si="115"/>
        <v>4</v>
      </c>
      <c r="X276" s="42">
        <f t="shared" si="116"/>
        <v>0</v>
      </c>
      <c r="Y276" s="42">
        <f t="shared" si="117"/>
        <v>4</v>
      </c>
      <c r="Z276" s="42">
        <f t="shared" si="118"/>
        <v>0</v>
      </c>
      <c r="AA276" s="52">
        <f t="shared" si="119"/>
        <v>26</v>
      </c>
      <c r="AB276" s="53">
        <f t="shared" si="120"/>
        <v>65</v>
      </c>
    </row>
    <row r="277" ht="15.75" customHeight="1">
      <c r="B277" s="43">
        <v>3.0</v>
      </c>
      <c r="C277" s="57" t="s">
        <v>203</v>
      </c>
      <c r="D277" s="43">
        <v>55.0</v>
      </c>
      <c r="E277" s="43" t="s">
        <v>234</v>
      </c>
      <c r="F277" s="47">
        <v>2.0</v>
      </c>
      <c r="G277" s="47">
        <v>5.0</v>
      </c>
      <c r="H277" s="47">
        <v>4.0</v>
      </c>
      <c r="I277" s="47">
        <v>1.0</v>
      </c>
      <c r="J277" s="47">
        <v>3.0</v>
      </c>
      <c r="K277" s="47">
        <v>5.0</v>
      </c>
      <c r="L277" s="47">
        <v>1.0</v>
      </c>
      <c r="M277" s="47">
        <v>1.0</v>
      </c>
      <c r="N277" s="47">
        <v>5.0</v>
      </c>
      <c r="O277" s="47">
        <v>3.0</v>
      </c>
      <c r="P277" s="37"/>
      <c r="Q277" s="42">
        <f t="shared" si="109"/>
        <v>1</v>
      </c>
      <c r="R277" s="42">
        <f t="shared" si="110"/>
        <v>0</v>
      </c>
      <c r="S277" s="42">
        <f t="shared" si="111"/>
        <v>3</v>
      </c>
      <c r="T277" s="42">
        <f t="shared" si="112"/>
        <v>4</v>
      </c>
      <c r="U277" s="42">
        <f t="shared" si="113"/>
        <v>2</v>
      </c>
      <c r="V277" s="42">
        <f t="shared" si="114"/>
        <v>0</v>
      </c>
      <c r="W277" s="42">
        <f t="shared" si="115"/>
        <v>0</v>
      </c>
      <c r="X277" s="42">
        <f t="shared" si="116"/>
        <v>4</v>
      </c>
      <c r="Y277" s="42">
        <f t="shared" si="117"/>
        <v>4</v>
      </c>
      <c r="Z277" s="42">
        <f t="shared" si="118"/>
        <v>2</v>
      </c>
      <c r="AA277" s="52">
        <f t="shared" si="119"/>
        <v>20</v>
      </c>
      <c r="AB277" s="53">
        <f t="shared" si="120"/>
        <v>50</v>
      </c>
    </row>
    <row r="278" ht="15.75" customHeight="1">
      <c r="B278" s="43">
        <v>4.0</v>
      </c>
      <c r="C278" s="57" t="s">
        <v>204</v>
      </c>
      <c r="D278" s="43">
        <v>40.0</v>
      </c>
      <c r="E278" s="43" t="s">
        <v>234</v>
      </c>
      <c r="F278" s="47">
        <v>2.0</v>
      </c>
      <c r="G278" s="47">
        <v>1.0</v>
      </c>
      <c r="H278" s="47">
        <v>5.0</v>
      </c>
      <c r="I278" s="47">
        <v>3.0</v>
      </c>
      <c r="J278" s="47">
        <v>1.0</v>
      </c>
      <c r="K278" s="47">
        <v>4.0</v>
      </c>
      <c r="L278" s="47">
        <v>5.0</v>
      </c>
      <c r="M278" s="47">
        <v>1.0</v>
      </c>
      <c r="N278" s="47">
        <v>4.0</v>
      </c>
      <c r="O278" s="47">
        <v>1.0</v>
      </c>
      <c r="P278" s="37"/>
      <c r="Q278" s="42">
        <f t="shared" si="109"/>
        <v>1</v>
      </c>
      <c r="R278" s="42">
        <f t="shared" si="110"/>
        <v>4</v>
      </c>
      <c r="S278" s="42">
        <f t="shared" si="111"/>
        <v>4</v>
      </c>
      <c r="T278" s="42">
        <f t="shared" si="112"/>
        <v>2</v>
      </c>
      <c r="U278" s="42">
        <f t="shared" si="113"/>
        <v>0</v>
      </c>
      <c r="V278" s="42">
        <f t="shared" si="114"/>
        <v>1</v>
      </c>
      <c r="W278" s="42">
        <f t="shared" si="115"/>
        <v>4</v>
      </c>
      <c r="X278" s="42">
        <f t="shared" si="116"/>
        <v>4</v>
      </c>
      <c r="Y278" s="42">
        <f t="shared" si="117"/>
        <v>3</v>
      </c>
      <c r="Z278" s="42">
        <f t="shared" si="118"/>
        <v>4</v>
      </c>
      <c r="AA278" s="52">
        <f t="shared" si="119"/>
        <v>27</v>
      </c>
      <c r="AB278" s="53">
        <f t="shared" si="120"/>
        <v>67.5</v>
      </c>
    </row>
    <row r="279" ht="15.75" customHeight="1">
      <c r="B279" s="43">
        <v>5.0</v>
      </c>
      <c r="C279" s="57" t="s">
        <v>205</v>
      </c>
      <c r="D279" s="43">
        <v>19.0</v>
      </c>
      <c r="E279" s="43" t="s">
        <v>200</v>
      </c>
      <c r="F279" s="47">
        <v>4.0</v>
      </c>
      <c r="G279" s="47">
        <v>2.0</v>
      </c>
      <c r="H279" s="47">
        <v>4.0</v>
      </c>
      <c r="I279" s="47">
        <v>2.0</v>
      </c>
      <c r="J279" s="47">
        <v>4.0</v>
      </c>
      <c r="K279" s="47">
        <v>2.0</v>
      </c>
      <c r="L279" s="47">
        <v>2.0</v>
      </c>
      <c r="M279" s="47">
        <v>3.0</v>
      </c>
      <c r="N279" s="47">
        <v>4.0</v>
      </c>
      <c r="O279" s="47">
        <v>4.0</v>
      </c>
      <c r="P279" s="37"/>
      <c r="Q279" s="42">
        <f t="shared" si="109"/>
        <v>3</v>
      </c>
      <c r="R279" s="42">
        <f t="shared" si="110"/>
        <v>3</v>
      </c>
      <c r="S279" s="42">
        <f t="shared" si="111"/>
        <v>3</v>
      </c>
      <c r="T279" s="42">
        <f t="shared" si="112"/>
        <v>3</v>
      </c>
      <c r="U279" s="42">
        <f t="shared" si="113"/>
        <v>3</v>
      </c>
      <c r="V279" s="42">
        <f t="shared" si="114"/>
        <v>3</v>
      </c>
      <c r="W279" s="42">
        <f t="shared" si="115"/>
        <v>1</v>
      </c>
      <c r="X279" s="42">
        <f t="shared" si="116"/>
        <v>2</v>
      </c>
      <c r="Y279" s="42">
        <f t="shared" si="117"/>
        <v>3</v>
      </c>
      <c r="Z279" s="42">
        <f t="shared" si="118"/>
        <v>1</v>
      </c>
      <c r="AA279" s="52">
        <f t="shared" si="119"/>
        <v>25</v>
      </c>
      <c r="AB279" s="53">
        <f t="shared" si="120"/>
        <v>62.5</v>
      </c>
    </row>
    <row r="280" ht="15.75" customHeight="1">
      <c r="B280" s="43">
        <v>6.0</v>
      </c>
      <c r="C280" s="57" t="s">
        <v>206</v>
      </c>
      <c r="D280" s="43">
        <v>18.0</v>
      </c>
      <c r="E280" s="43" t="s">
        <v>234</v>
      </c>
      <c r="F280" s="47">
        <v>2.0</v>
      </c>
      <c r="G280" s="47">
        <v>1.0</v>
      </c>
      <c r="H280" s="47">
        <v>4.0</v>
      </c>
      <c r="I280" s="47">
        <v>3.0</v>
      </c>
      <c r="J280" s="47">
        <v>4.0</v>
      </c>
      <c r="K280" s="47">
        <v>2.0</v>
      </c>
      <c r="L280" s="47">
        <v>4.0</v>
      </c>
      <c r="M280" s="47">
        <v>5.0</v>
      </c>
      <c r="N280" s="47">
        <v>5.0</v>
      </c>
      <c r="O280" s="47">
        <v>5.0</v>
      </c>
      <c r="P280" s="37"/>
      <c r="Q280" s="42">
        <f t="shared" si="109"/>
        <v>1</v>
      </c>
      <c r="R280" s="42">
        <f t="shared" si="110"/>
        <v>4</v>
      </c>
      <c r="S280" s="42">
        <f t="shared" si="111"/>
        <v>3</v>
      </c>
      <c r="T280" s="42">
        <f t="shared" si="112"/>
        <v>2</v>
      </c>
      <c r="U280" s="42">
        <f t="shared" si="113"/>
        <v>3</v>
      </c>
      <c r="V280" s="42">
        <f t="shared" si="114"/>
        <v>3</v>
      </c>
      <c r="W280" s="42">
        <f t="shared" si="115"/>
        <v>3</v>
      </c>
      <c r="X280" s="42">
        <f t="shared" si="116"/>
        <v>0</v>
      </c>
      <c r="Y280" s="42">
        <f t="shared" si="117"/>
        <v>4</v>
      </c>
      <c r="Z280" s="42">
        <f t="shared" si="118"/>
        <v>0</v>
      </c>
      <c r="AA280" s="52">
        <f t="shared" si="119"/>
        <v>23</v>
      </c>
      <c r="AB280" s="53">
        <f t="shared" si="120"/>
        <v>57.5</v>
      </c>
    </row>
    <row r="281" ht="15.75" customHeight="1">
      <c r="B281" s="43">
        <v>7.0</v>
      </c>
      <c r="C281" s="57" t="s">
        <v>207</v>
      </c>
      <c r="D281" s="43">
        <v>19.0</v>
      </c>
      <c r="E281" s="43" t="s">
        <v>234</v>
      </c>
      <c r="F281" s="47">
        <v>1.0</v>
      </c>
      <c r="G281" s="47">
        <v>1.0</v>
      </c>
      <c r="H281" s="47">
        <v>5.0</v>
      </c>
      <c r="I281" s="47">
        <v>1.0</v>
      </c>
      <c r="J281" s="47">
        <v>3.0</v>
      </c>
      <c r="K281" s="47">
        <v>1.0</v>
      </c>
      <c r="L281" s="47">
        <v>5.0</v>
      </c>
      <c r="M281" s="47">
        <v>5.0</v>
      </c>
      <c r="N281" s="47">
        <v>5.0</v>
      </c>
      <c r="O281" s="47">
        <v>5.0</v>
      </c>
      <c r="P281" s="37"/>
      <c r="Q281" s="42">
        <f t="shared" si="109"/>
        <v>0</v>
      </c>
      <c r="R281" s="42">
        <f t="shared" si="110"/>
        <v>4</v>
      </c>
      <c r="S281" s="42">
        <f t="shared" si="111"/>
        <v>4</v>
      </c>
      <c r="T281" s="42">
        <f t="shared" si="112"/>
        <v>4</v>
      </c>
      <c r="U281" s="42">
        <f t="shared" si="113"/>
        <v>2</v>
      </c>
      <c r="V281" s="42">
        <f t="shared" si="114"/>
        <v>4</v>
      </c>
      <c r="W281" s="42">
        <f t="shared" si="115"/>
        <v>4</v>
      </c>
      <c r="X281" s="42">
        <f t="shared" si="116"/>
        <v>0</v>
      </c>
      <c r="Y281" s="42">
        <f t="shared" si="117"/>
        <v>4</v>
      </c>
      <c r="Z281" s="42">
        <f t="shared" si="118"/>
        <v>0</v>
      </c>
      <c r="AA281" s="52">
        <f t="shared" si="119"/>
        <v>26</v>
      </c>
      <c r="AB281" s="53">
        <f t="shared" si="120"/>
        <v>65</v>
      </c>
    </row>
    <row r="282" ht="15.75" customHeight="1">
      <c r="B282" s="43">
        <v>8.0</v>
      </c>
      <c r="C282" s="57" t="s">
        <v>208</v>
      </c>
      <c r="D282" s="43">
        <v>20.0</v>
      </c>
      <c r="E282" s="43" t="s">
        <v>234</v>
      </c>
      <c r="F282" s="47">
        <v>2.0</v>
      </c>
      <c r="G282" s="47">
        <v>2.0</v>
      </c>
      <c r="H282" s="47">
        <v>5.0</v>
      </c>
      <c r="I282" s="47">
        <v>3.0</v>
      </c>
      <c r="J282" s="47">
        <v>4.0</v>
      </c>
      <c r="K282" s="47">
        <v>2.0</v>
      </c>
      <c r="L282" s="47">
        <v>4.0</v>
      </c>
      <c r="M282" s="47">
        <v>5.0</v>
      </c>
      <c r="N282" s="47">
        <v>5.0</v>
      </c>
      <c r="O282" s="47">
        <v>5.0</v>
      </c>
      <c r="P282" s="37"/>
      <c r="Q282" s="42">
        <f t="shared" si="109"/>
        <v>1</v>
      </c>
      <c r="R282" s="42">
        <f t="shared" si="110"/>
        <v>3</v>
      </c>
      <c r="S282" s="42">
        <f t="shared" si="111"/>
        <v>4</v>
      </c>
      <c r="T282" s="42">
        <f t="shared" si="112"/>
        <v>2</v>
      </c>
      <c r="U282" s="42">
        <f t="shared" si="113"/>
        <v>3</v>
      </c>
      <c r="V282" s="42">
        <f t="shared" si="114"/>
        <v>3</v>
      </c>
      <c r="W282" s="42">
        <f t="shared" si="115"/>
        <v>3</v>
      </c>
      <c r="X282" s="42">
        <f t="shared" si="116"/>
        <v>0</v>
      </c>
      <c r="Y282" s="42">
        <f t="shared" si="117"/>
        <v>4</v>
      </c>
      <c r="Z282" s="42">
        <f t="shared" si="118"/>
        <v>0</v>
      </c>
      <c r="AA282" s="52">
        <f t="shared" si="119"/>
        <v>23</v>
      </c>
      <c r="AB282" s="53">
        <f t="shared" si="120"/>
        <v>57.5</v>
      </c>
    </row>
    <row r="283" ht="15.75" customHeight="1">
      <c r="B283" s="43">
        <v>9.0</v>
      </c>
      <c r="C283" s="57" t="s">
        <v>209</v>
      </c>
      <c r="D283" s="43">
        <v>20.0</v>
      </c>
      <c r="E283" s="43" t="s">
        <v>234</v>
      </c>
      <c r="F283" s="47">
        <v>2.0</v>
      </c>
      <c r="G283" s="47">
        <v>2.0</v>
      </c>
      <c r="H283" s="47">
        <v>4.0</v>
      </c>
      <c r="I283" s="47">
        <v>2.0</v>
      </c>
      <c r="J283" s="47">
        <v>4.0</v>
      </c>
      <c r="K283" s="47">
        <v>2.0</v>
      </c>
      <c r="L283" s="47">
        <v>5.0</v>
      </c>
      <c r="M283" s="47">
        <v>5.0</v>
      </c>
      <c r="N283" s="47">
        <v>5.0</v>
      </c>
      <c r="O283" s="47">
        <v>5.0</v>
      </c>
      <c r="P283" s="37"/>
      <c r="Q283" s="42">
        <f t="shared" si="109"/>
        <v>1</v>
      </c>
      <c r="R283" s="42">
        <f t="shared" si="110"/>
        <v>3</v>
      </c>
      <c r="S283" s="42">
        <f t="shared" si="111"/>
        <v>3</v>
      </c>
      <c r="T283" s="42">
        <f t="shared" si="112"/>
        <v>3</v>
      </c>
      <c r="U283" s="42">
        <f t="shared" si="113"/>
        <v>3</v>
      </c>
      <c r="V283" s="42">
        <f t="shared" si="114"/>
        <v>3</v>
      </c>
      <c r="W283" s="42">
        <f t="shared" si="115"/>
        <v>4</v>
      </c>
      <c r="X283" s="42">
        <f t="shared" si="116"/>
        <v>0</v>
      </c>
      <c r="Y283" s="42">
        <f t="shared" si="117"/>
        <v>4</v>
      </c>
      <c r="Z283" s="42">
        <f t="shared" si="118"/>
        <v>0</v>
      </c>
      <c r="AA283" s="52">
        <f t="shared" si="119"/>
        <v>24</v>
      </c>
      <c r="AB283" s="53">
        <f t="shared" si="120"/>
        <v>60</v>
      </c>
    </row>
    <row r="284" ht="15.75" customHeight="1">
      <c r="B284" s="43">
        <v>10.0</v>
      </c>
      <c r="C284" s="57" t="s">
        <v>210</v>
      </c>
      <c r="D284" s="43">
        <v>20.0</v>
      </c>
      <c r="E284" s="43" t="s">
        <v>200</v>
      </c>
      <c r="F284" s="47">
        <v>4.0</v>
      </c>
      <c r="G284" s="47">
        <v>3.0</v>
      </c>
      <c r="H284" s="47">
        <v>3.0</v>
      </c>
      <c r="I284" s="47">
        <v>4.0</v>
      </c>
      <c r="J284" s="47">
        <v>4.0</v>
      </c>
      <c r="K284" s="47">
        <v>5.0</v>
      </c>
      <c r="L284" s="47">
        <v>5.0</v>
      </c>
      <c r="M284" s="47">
        <v>4.0</v>
      </c>
      <c r="N284" s="47">
        <v>4.0</v>
      </c>
      <c r="O284" s="47">
        <v>3.0</v>
      </c>
      <c r="P284" s="37"/>
      <c r="Q284" s="42">
        <f t="shared" si="109"/>
        <v>3</v>
      </c>
      <c r="R284" s="42">
        <f t="shared" si="110"/>
        <v>2</v>
      </c>
      <c r="S284" s="42">
        <f t="shared" si="111"/>
        <v>2</v>
      </c>
      <c r="T284" s="42">
        <f t="shared" si="112"/>
        <v>1</v>
      </c>
      <c r="U284" s="42">
        <f t="shared" si="113"/>
        <v>3</v>
      </c>
      <c r="V284" s="42">
        <f t="shared" si="114"/>
        <v>0</v>
      </c>
      <c r="W284" s="42">
        <f t="shared" si="115"/>
        <v>4</v>
      </c>
      <c r="X284" s="42">
        <f t="shared" si="116"/>
        <v>1</v>
      </c>
      <c r="Y284" s="42">
        <f t="shared" si="117"/>
        <v>3</v>
      </c>
      <c r="Z284" s="42">
        <f t="shared" si="118"/>
        <v>2</v>
      </c>
      <c r="AA284" s="52">
        <f t="shared" si="119"/>
        <v>21</v>
      </c>
      <c r="AB284" s="53">
        <f t="shared" si="120"/>
        <v>52.5</v>
      </c>
    </row>
    <row r="285" ht="15.75" customHeight="1">
      <c r="B285" s="43">
        <v>11.0</v>
      </c>
      <c r="C285" s="57" t="s">
        <v>211</v>
      </c>
      <c r="D285" s="43">
        <v>33.0</v>
      </c>
      <c r="E285" s="43" t="s">
        <v>200</v>
      </c>
      <c r="F285" s="47">
        <v>3.0</v>
      </c>
      <c r="G285" s="47">
        <v>2.0</v>
      </c>
      <c r="H285" s="47">
        <v>3.0</v>
      </c>
      <c r="I285" s="47">
        <v>2.0</v>
      </c>
      <c r="J285" s="47">
        <v>3.0</v>
      </c>
      <c r="K285" s="47">
        <v>2.0</v>
      </c>
      <c r="L285" s="47">
        <v>3.0</v>
      </c>
      <c r="M285" s="47">
        <v>2.0</v>
      </c>
      <c r="N285" s="47">
        <v>3.0</v>
      </c>
      <c r="O285" s="47">
        <v>2.0</v>
      </c>
      <c r="P285" s="37"/>
      <c r="Q285" s="42">
        <f t="shared" si="109"/>
        <v>2</v>
      </c>
      <c r="R285" s="42">
        <f t="shared" si="110"/>
        <v>3</v>
      </c>
      <c r="S285" s="42">
        <f t="shared" si="111"/>
        <v>2</v>
      </c>
      <c r="T285" s="42">
        <f t="shared" si="112"/>
        <v>3</v>
      </c>
      <c r="U285" s="42">
        <f t="shared" si="113"/>
        <v>2</v>
      </c>
      <c r="V285" s="42">
        <f t="shared" si="114"/>
        <v>3</v>
      </c>
      <c r="W285" s="42">
        <f t="shared" si="115"/>
        <v>2</v>
      </c>
      <c r="X285" s="42">
        <f t="shared" si="116"/>
        <v>3</v>
      </c>
      <c r="Y285" s="42">
        <f t="shared" si="117"/>
        <v>2</v>
      </c>
      <c r="Z285" s="42">
        <f t="shared" si="118"/>
        <v>3</v>
      </c>
      <c r="AA285" s="52">
        <f t="shared" si="119"/>
        <v>25</v>
      </c>
      <c r="AB285" s="53">
        <f t="shared" si="120"/>
        <v>62.5</v>
      </c>
    </row>
    <row r="286" ht="15.75" customHeight="1">
      <c r="B286" s="43">
        <v>12.0</v>
      </c>
      <c r="C286" s="57" t="s">
        <v>212</v>
      </c>
      <c r="D286" s="43">
        <v>30.0</v>
      </c>
      <c r="E286" s="43" t="s">
        <v>202</v>
      </c>
      <c r="F286" s="47">
        <v>1.0</v>
      </c>
      <c r="G286" s="47">
        <v>3.0</v>
      </c>
      <c r="H286" s="47">
        <v>3.0</v>
      </c>
      <c r="I286" s="47">
        <v>2.0</v>
      </c>
      <c r="J286" s="47">
        <v>5.0</v>
      </c>
      <c r="K286" s="47">
        <v>3.0</v>
      </c>
      <c r="L286" s="47">
        <v>2.0</v>
      </c>
      <c r="M286" s="47">
        <v>3.0</v>
      </c>
      <c r="N286" s="47">
        <v>5.0</v>
      </c>
      <c r="O286" s="47">
        <v>4.0</v>
      </c>
      <c r="P286" s="37"/>
      <c r="Q286" s="42">
        <f t="shared" si="109"/>
        <v>0</v>
      </c>
      <c r="R286" s="42">
        <f t="shared" si="110"/>
        <v>2</v>
      </c>
      <c r="S286" s="42">
        <f t="shared" si="111"/>
        <v>2</v>
      </c>
      <c r="T286" s="42">
        <f t="shared" si="112"/>
        <v>3</v>
      </c>
      <c r="U286" s="42">
        <f t="shared" si="113"/>
        <v>4</v>
      </c>
      <c r="V286" s="42">
        <f t="shared" si="114"/>
        <v>2</v>
      </c>
      <c r="W286" s="42">
        <f t="shared" si="115"/>
        <v>1</v>
      </c>
      <c r="X286" s="42">
        <f t="shared" si="116"/>
        <v>2</v>
      </c>
      <c r="Y286" s="42">
        <f t="shared" si="117"/>
        <v>4</v>
      </c>
      <c r="Z286" s="42">
        <f t="shared" si="118"/>
        <v>1</v>
      </c>
      <c r="AA286" s="52">
        <f t="shared" si="119"/>
        <v>21</v>
      </c>
      <c r="AB286" s="53">
        <f t="shared" si="120"/>
        <v>52.5</v>
      </c>
    </row>
    <row r="287" ht="15.75" customHeight="1">
      <c r="B287" s="43">
        <v>13.0</v>
      </c>
      <c r="C287" s="57" t="s">
        <v>213</v>
      </c>
      <c r="D287" s="43">
        <v>26.0</v>
      </c>
      <c r="E287" s="43" t="s">
        <v>200</v>
      </c>
      <c r="F287" s="47">
        <v>2.0</v>
      </c>
      <c r="G287" s="47">
        <v>1.0</v>
      </c>
      <c r="H287" s="47">
        <v>4.0</v>
      </c>
      <c r="I287" s="47">
        <v>4.0</v>
      </c>
      <c r="J287" s="47">
        <v>2.0</v>
      </c>
      <c r="K287" s="47">
        <v>4.0</v>
      </c>
      <c r="L287" s="47">
        <v>3.0</v>
      </c>
      <c r="M287" s="47">
        <v>5.0</v>
      </c>
      <c r="N287" s="47">
        <v>1.0</v>
      </c>
      <c r="O287" s="47">
        <v>2.0</v>
      </c>
      <c r="P287" s="37"/>
      <c r="Q287" s="42">
        <f t="shared" si="109"/>
        <v>1</v>
      </c>
      <c r="R287" s="42">
        <f t="shared" si="110"/>
        <v>4</v>
      </c>
      <c r="S287" s="42">
        <f t="shared" si="111"/>
        <v>3</v>
      </c>
      <c r="T287" s="42">
        <f t="shared" si="112"/>
        <v>1</v>
      </c>
      <c r="U287" s="42">
        <f t="shared" si="113"/>
        <v>1</v>
      </c>
      <c r="V287" s="42">
        <f t="shared" si="114"/>
        <v>1</v>
      </c>
      <c r="W287" s="42">
        <f t="shared" si="115"/>
        <v>2</v>
      </c>
      <c r="X287" s="42">
        <f t="shared" si="116"/>
        <v>0</v>
      </c>
      <c r="Y287" s="42">
        <f t="shared" si="117"/>
        <v>0</v>
      </c>
      <c r="Z287" s="42">
        <f t="shared" si="118"/>
        <v>3</v>
      </c>
      <c r="AA287" s="52">
        <f t="shared" si="119"/>
        <v>16</v>
      </c>
      <c r="AB287" s="53">
        <f t="shared" si="120"/>
        <v>40</v>
      </c>
    </row>
    <row r="288" ht="15.75" customHeight="1">
      <c r="B288" s="43">
        <v>14.0</v>
      </c>
      <c r="C288" s="57" t="s">
        <v>214</v>
      </c>
      <c r="D288" s="43">
        <v>31.0</v>
      </c>
      <c r="E288" s="43" t="s">
        <v>202</v>
      </c>
      <c r="F288" s="47">
        <v>3.0</v>
      </c>
      <c r="G288" s="47">
        <v>4.0</v>
      </c>
      <c r="H288" s="47">
        <v>1.0</v>
      </c>
      <c r="I288" s="47">
        <v>5.0</v>
      </c>
      <c r="J288" s="47">
        <v>3.0</v>
      </c>
      <c r="K288" s="47">
        <v>2.0</v>
      </c>
      <c r="L288" s="47">
        <v>5.0</v>
      </c>
      <c r="M288" s="47">
        <v>1.0</v>
      </c>
      <c r="N288" s="47">
        <v>2.0</v>
      </c>
      <c r="O288" s="47">
        <v>5.0</v>
      </c>
      <c r="P288" s="37"/>
      <c r="Q288" s="42">
        <f t="shared" si="109"/>
        <v>2</v>
      </c>
      <c r="R288" s="42">
        <f t="shared" si="110"/>
        <v>1</v>
      </c>
      <c r="S288" s="42">
        <f t="shared" si="111"/>
        <v>0</v>
      </c>
      <c r="T288" s="42">
        <f t="shared" si="112"/>
        <v>0</v>
      </c>
      <c r="U288" s="42">
        <f t="shared" si="113"/>
        <v>2</v>
      </c>
      <c r="V288" s="42">
        <f t="shared" si="114"/>
        <v>3</v>
      </c>
      <c r="W288" s="42">
        <f t="shared" si="115"/>
        <v>4</v>
      </c>
      <c r="X288" s="42">
        <f t="shared" si="116"/>
        <v>4</v>
      </c>
      <c r="Y288" s="42">
        <f t="shared" si="117"/>
        <v>1</v>
      </c>
      <c r="Z288" s="42">
        <f t="shared" si="118"/>
        <v>0</v>
      </c>
      <c r="AA288" s="52">
        <f t="shared" si="119"/>
        <v>17</v>
      </c>
      <c r="AB288" s="53">
        <f t="shared" si="120"/>
        <v>42.5</v>
      </c>
    </row>
    <row r="289" ht="15.75" customHeight="1">
      <c r="B289" s="43">
        <v>15.0</v>
      </c>
      <c r="C289" s="57" t="s">
        <v>215</v>
      </c>
      <c r="D289" s="43">
        <v>28.0</v>
      </c>
      <c r="E289" s="43" t="s">
        <v>200</v>
      </c>
      <c r="F289" s="47">
        <v>4.0</v>
      </c>
      <c r="G289" s="47">
        <v>2.0</v>
      </c>
      <c r="H289" s="47">
        <v>5.0</v>
      </c>
      <c r="I289" s="47">
        <v>1.0</v>
      </c>
      <c r="J289" s="47">
        <v>1.0</v>
      </c>
      <c r="K289" s="47">
        <v>3.0</v>
      </c>
      <c r="L289" s="47">
        <v>4.0</v>
      </c>
      <c r="M289" s="47">
        <v>2.0</v>
      </c>
      <c r="N289" s="47">
        <v>5.0</v>
      </c>
      <c r="O289" s="47">
        <v>1.0</v>
      </c>
      <c r="P289" s="37"/>
      <c r="Q289" s="42">
        <f t="shared" si="109"/>
        <v>3</v>
      </c>
      <c r="R289" s="42">
        <f t="shared" si="110"/>
        <v>3</v>
      </c>
      <c r="S289" s="42">
        <f t="shared" si="111"/>
        <v>4</v>
      </c>
      <c r="T289" s="42">
        <f t="shared" si="112"/>
        <v>4</v>
      </c>
      <c r="U289" s="42">
        <f t="shared" si="113"/>
        <v>0</v>
      </c>
      <c r="V289" s="42">
        <f t="shared" si="114"/>
        <v>2</v>
      </c>
      <c r="W289" s="42">
        <f t="shared" si="115"/>
        <v>3</v>
      </c>
      <c r="X289" s="42">
        <f t="shared" si="116"/>
        <v>3</v>
      </c>
      <c r="Y289" s="42">
        <f t="shared" si="117"/>
        <v>4</v>
      </c>
      <c r="Z289" s="42">
        <f t="shared" si="118"/>
        <v>4</v>
      </c>
      <c r="AA289" s="52">
        <f t="shared" si="119"/>
        <v>30</v>
      </c>
      <c r="AB289" s="53">
        <f t="shared" si="120"/>
        <v>75</v>
      </c>
    </row>
    <row r="290" ht="15.75" customHeight="1">
      <c r="B290" s="43">
        <v>16.0</v>
      </c>
      <c r="C290" s="57" t="s">
        <v>216</v>
      </c>
      <c r="D290" s="43">
        <v>16.0</v>
      </c>
      <c r="E290" s="43" t="s">
        <v>202</v>
      </c>
      <c r="F290" s="47">
        <v>5.0</v>
      </c>
      <c r="G290" s="47">
        <v>5.0</v>
      </c>
      <c r="H290" s="47">
        <v>2.0</v>
      </c>
      <c r="I290" s="47">
        <v>2.0</v>
      </c>
      <c r="J290" s="47">
        <v>4.0</v>
      </c>
      <c r="K290" s="47">
        <v>1.0</v>
      </c>
      <c r="L290" s="47">
        <v>3.0</v>
      </c>
      <c r="M290" s="47">
        <v>4.0</v>
      </c>
      <c r="N290" s="47">
        <v>3.0</v>
      </c>
      <c r="O290" s="47">
        <v>2.0</v>
      </c>
      <c r="P290" s="37"/>
      <c r="Q290" s="42">
        <f t="shared" si="109"/>
        <v>4</v>
      </c>
      <c r="R290" s="42">
        <f t="shared" si="110"/>
        <v>0</v>
      </c>
      <c r="S290" s="42">
        <f t="shared" si="111"/>
        <v>1</v>
      </c>
      <c r="T290" s="42">
        <f t="shared" si="112"/>
        <v>3</v>
      </c>
      <c r="U290" s="42">
        <f t="shared" si="113"/>
        <v>3</v>
      </c>
      <c r="V290" s="42">
        <f t="shared" si="114"/>
        <v>4</v>
      </c>
      <c r="W290" s="42">
        <f t="shared" si="115"/>
        <v>2</v>
      </c>
      <c r="X290" s="42">
        <f t="shared" si="116"/>
        <v>1</v>
      </c>
      <c r="Y290" s="42">
        <f t="shared" si="117"/>
        <v>2</v>
      </c>
      <c r="Z290" s="42">
        <f t="shared" si="118"/>
        <v>3</v>
      </c>
      <c r="AA290" s="52">
        <f t="shared" si="119"/>
        <v>23</v>
      </c>
      <c r="AB290" s="53">
        <f t="shared" si="120"/>
        <v>57.5</v>
      </c>
    </row>
    <row r="291" ht="15.75" customHeight="1">
      <c r="B291" s="43">
        <v>17.0</v>
      </c>
      <c r="C291" s="57" t="s">
        <v>217</v>
      </c>
      <c r="D291" s="43">
        <v>20.0</v>
      </c>
      <c r="E291" s="43" t="s">
        <v>200</v>
      </c>
      <c r="F291" s="47">
        <v>1.0</v>
      </c>
      <c r="G291" s="47">
        <v>1.0</v>
      </c>
      <c r="H291" s="47">
        <v>3.0</v>
      </c>
      <c r="I291" s="47">
        <v>3.0</v>
      </c>
      <c r="J291" s="47">
        <v>5.0</v>
      </c>
      <c r="K291" s="47">
        <v>2.0</v>
      </c>
      <c r="L291" s="47">
        <v>1.0</v>
      </c>
      <c r="M291" s="47">
        <v>3.0</v>
      </c>
      <c r="N291" s="47">
        <v>4.0</v>
      </c>
      <c r="O291" s="47">
        <v>5.0</v>
      </c>
      <c r="P291" s="37"/>
      <c r="Q291" s="42">
        <f t="shared" si="109"/>
        <v>0</v>
      </c>
      <c r="R291" s="42">
        <f t="shared" si="110"/>
        <v>4</v>
      </c>
      <c r="S291" s="42">
        <f t="shared" si="111"/>
        <v>2</v>
      </c>
      <c r="T291" s="42">
        <f t="shared" si="112"/>
        <v>2</v>
      </c>
      <c r="U291" s="42">
        <f t="shared" si="113"/>
        <v>4</v>
      </c>
      <c r="V291" s="42">
        <f t="shared" si="114"/>
        <v>3</v>
      </c>
      <c r="W291" s="42">
        <f t="shared" si="115"/>
        <v>0</v>
      </c>
      <c r="X291" s="42">
        <f t="shared" si="116"/>
        <v>2</v>
      </c>
      <c r="Y291" s="42">
        <f t="shared" si="117"/>
        <v>3</v>
      </c>
      <c r="Z291" s="42">
        <f t="shared" si="118"/>
        <v>0</v>
      </c>
      <c r="AA291" s="52">
        <f t="shared" si="119"/>
        <v>20</v>
      </c>
      <c r="AB291" s="53">
        <f t="shared" si="120"/>
        <v>50</v>
      </c>
    </row>
    <row r="292" ht="15.75" customHeight="1">
      <c r="B292" s="43">
        <v>18.0</v>
      </c>
      <c r="C292" s="57" t="s">
        <v>218</v>
      </c>
      <c r="D292" s="43">
        <v>21.0</v>
      </c>
      <c r="E292" s="43" t="s">
        <v>202</v>
      </c>
      <c r="F292" s="47">
        <v>3.0</v>
      </c>
      <c r="G292" s="47">
        <v>2.0</v>
      </c>
      <c r="H292" s="47">
        <v>3.0</v>
      </c>
      <c r="I292" s="47">
        <v>2.0</v>
      </c>
      <c r="J292" s="47">
        <v>1.0</v>
      </c>
      <c r="K292" s="47">
        <v>3.0</v>
      </c>
      <c r="L292" s="47">
        <v>4.0</v>
      </c>
      <c r="M292" s="47">
        <v>5.0</v>
      </c>
      <c r="N292" s="47">
        <v>3.0</v>
      </c>
      <c r="O292" s="47">
        <v>1.0</v>
      </c>
      <c r="P292" s="37"/>
      <c r="Q292" s="42">
        <f t="shared" si="109"/>
        <v>2</v>
      </c>
      <c r="R292" s="42">
        <f t="shared" si="110"/>
        <v>3</v>
      </c>
      <c r="S292" s="42">
        <f t="shared" si="111"/>
        <v>2</v>
      </c>
      <c r="T292" s="42">
        <f t="shared" si="112"/>
        <v>3</v>
      </c>
      <c r="U292" s="42">
        <f t="shared" si="113"/>
        <v>0</v>
      </c>
      <c r="V292" s="42">
        <f t="shared" si="114"/>
        <v>2</v>
      </c>
      <c r="W292" s="42">
        <f t="shared" si="115"/>
        <v>3</v>
      </c>
      <c r="X292" s="42">
        <f t="shared" si="116"/>
        <v>0</v>
      </c>
      <c r="Y292" s="42">
        <f t="shared" si="117"/>
        <v>2</v>
      </c>
      <c r="Z292" s="42">
        <f t="shared" si="118"/>
        <v>4</v>
      </c>
      <c r="AA292" s="52">
        <f t="shared" si="119"/>
        <v>21</v>
      </c>
      <c r="AB292" s="53">
        <f t="shared" si="120"/>
        <v>52.5</v>
      </c>
    </row>
    <row r="293" ht="15.75" customHeight="1">
      <c r="B293" s="43">
        <v>19.0</v>
      </c>
      <c r="C293" s="57" t="s">
        <v>219</v>
      </c>
      <c r="D293" s="43">
        <v>16.0</v>
      </c>
      <c r="E293" s="43" t="s">
        <v>200</v>
      </c>
      <c r="F293" s="47">
        <v>2.0</v>
      </c>
      <c r="G293" s="47">
        <v>4.0</v>
      </c>
      <c r="H293" s="47">
        <v>1.0</v>
      </c>
      <c r="I293" s="47">
        <v>5.0</v>
      </c>
      <c r="J293" s="47">
        <v>4.0</v>
      </c>
      <c r="K293" s="47">
        <v>5.0</v>
      </c>
      <c r="L293" s="47">
        <v>3.0</v>
      </c>
      <c r="M293" s="47">
        <v>1.0</v>
      </c>
      <c r="N293" s="47">
        <v>2.0</v>
      </c>
      <c r="O293" s="47">
        <v>4.0</v>
      </c>
      <c r="P293" s="37"/>
      <c r="Q293" s="42">
        <f t="shared" si="109"/>
        <v>1</v>
      </c>
      <c r="R293" s="42">
        <f t="shared" si="110"/>
        <v>1</v>
      </c>
      <c r="S293" s="42">
        <f t="shared" si="111"/>
        <v>0</v>
      </c>
      <c r="T293" s="42">
        <f t="shared" si="112"/>
        <v>0</v>
      </c>
      <c r="U293" s="42">
        <f t="shared" si="113"/>
        <v>3</v>
      </c>
      <c r="V293" s="42">
        <f t="shared" si="114"/>
        <v>0</v>
      </c>
      <c r="W293" s="42">
        <f t="shared" si="115"/>
        <v>2</v>
      </c>
      <c r="X293" s="42">
        <f t="shared" si="116"/>
        <v>4</v>
      </c>
      <c r="Y293" s="42">
        <f t="shared" si="117"/>
        <v>1</v>
      </c>
      <c r="Z293" s="42">
        <f t="shared" si="118"/>
        <v>1</v>
      </c>
      <c r="AA293" s="52">
        <f t="shared" si="119"/>
        <v>13</v>
      </c>
      <c r="AB293" s="53">
        <f t="shared" si="120"/>
        <v>32.5</v>
      </c>
    </row>
    <row r="294" ht="15.75" customHeight="1">
      <c r="B294" s="43">
        <v>20.0</v>
      </c>
      <c r="C294" s="57" t="s">
        <v>220</v>
      </c>
      <c r="D294" s="43">
        <v>18.0</v>
      </c>
      <c r="E294" s="43" t="s">
        <v>202</v>
      </c>
      <c r="F294" s="47">
        <v>1.0</v>
      </c>
      <c r="G294" s="47">
        <v>5.0</v>
      </c>
      <c r="H294" s="47">
        <v>5.0</v>
      </c>
      <c r="I294" s="47">
        <v>4.0</v>
      </c>
      <c r="J294" s="47">
        <v>2.0</v>
      </c>
      <c r="K294" s="47">
        <v>2.0</v>
      </c>
      <c r="L294" s="47">
        <v>1.0</v>
      </c>
      <c r="M294" s="47">
        <v>3.0</v>
      </c>
      <c r="N294" s="47">
        <v>5.0</v>
      </c>
      <c r="O294" s="47">
        <v>3.0</v>
      </c>
      <c r="P294" s="37"/>
      <c r="Q294" s="42">
        <f t="shared" si="109"/>
        <v>0</v>
      </c>
      <c r="R294" s="42">
        <f t="shared" si="110"/>
        <v>0</v>
      </c>
      <c r="S294" s="42">
        <f t="shared" si="111"/>
        <v>4</v>
      </c>
      <c r="T294" s="42">
        <f t="shared" si="112"/>
        <v>1</v>
      </c>
      <c r="U294" s="42">
        <f t="shared" si="113"/>
        <v>1</v>
      </c>
      <c r="V294" s="42">
        <f t="shared" si="114"/>
        <v>3</v>
      </c>
      <c r="W294" s="42">
        <f t="shared" si="115"/>
        <v>0</v>
      </c>
      <c r="X294" s="42">
        <f t="shared" si="116"/>
        <v>2</v>
      </c>
      <c r="Y294" s="42">
        <f t="shared" si="117"/>
        <v>4</v>
      </c>
      <c r="Z294" s="42">
        <f t="shared" si="118"/>
        <v>2</v>
      </c>
      <c r="AA294" s="52">
        <f t="shared" si="119"/>
        <v>17</v>
      </c>
      <c r="AB294" s="53">
        <f t="shared" si="120"/>
        <v>42.5</v>
      </c>
    </row>
    <row r="295" ht="15.75" customHeight="1">
      <c r="B295" s="43">
        <v>21.0</v>
      </c>
      <c r="C295" s="57" t="s">
        <v>221</v>
      </c>
      <c r="D295" s="43">
        <v>40.0</v>
      </c>
      <c r="E295" s="43" t="s">
        <v>200</v>
      </c>
      <c r="F295" s="47">
        <v>2.0</v>
      </c>
      <c r="G295" s="47">
        <v>1.0</v>
      </c>
      <c r="H295" s="47">
        <v>4.0</v>
      </c>
      <c r="I295" s="47">
        <v>3.0</v>
      </c>
      <c r="J295" s="47">
        <v>4.0</v>
      </c>
      <c r="K295" s="47">
        <v>2.0</v>
      </c>
      <c r="L295" s="47">
        <v>4.0</v>
      </c>
      <c r="M295" s="47">
        <v>5.0</v>
      </c>
      <c r="N295" s="47">
        <v>5.0</v>
      </c>
      <c r="O295" s="47">
        <v>5.0</v>
      </c>
      <c r="P295" s="37"/>
      <c r="Q295" s="42">
        <f t="shared" si="109"/>
        <v>1</v>
      </c>
      <c r="R295" s="42">
        <f t="shared" si="110"/>
        <v>4</v>
      </c>
      <c r="S295" s="42">
        <f t="shared" si="111"/>
        <v>3</v>
      </c>
      <c r="T295" s="42">
        <f t="shared" si="112"/>
        <v>2</v>
      </c>
      <c r="U295" s="42">
        <f t="shared" si="113"/>
        <v>3</v>
      </c>
      <c r="V295" s="42">
        <f t="shared" si="114"/>
        <v>3</v>
      </c>
      <c r="W295" s="42">
        <f t="shared" si="115"/>
        <v>3</v>
      </c>
      <c r="X295" s="42">
        <f t="shared" si="116"/>
        <v>0</v>
      </c>
      <c r="Y295" s="42">
        <f t="shared" si="117"/>
        <v>4</v>
      </c>
      <c r="Z295" s="42">
        <f t="shared" si="118"/>
        <v>0</v>
      </c>
      <c r="AA295" s="52">
        <f t="shared" si="119"/>
        <v>23</v>
      </c>
      <c r="AB295" s="53">
        <f t="shared" si="120"/>
        <v>57.5</v>
      </c>
    </row>
    <row r="296" ht="15.75" customHeight="1">
      <c r="B296" s="43">
        <v>22.0</v>
      </c>
      <c r="C296" s="57" t="s">
        <v>222</v>
      </c>
      <c r="D296" s="43">
        <v>19.0</v>
      </c>
      <c r="E296" s="43" t="s">
        <v>202</v>
      </c>
      <c r="F296" s="47">
        <v>1.0</v>
      </c>
      <c r="G296" s="47">
        <v>1.0</v>
      </c>
      <c r="H296" s="47">
        <v>5.0</v>
      </c>
      <c r="I296" s="47">
        <v>1.0</v>
      </c>
      <c r="J296" s="47">
        <v>3.0</v>
      </c>
      <c r="K296" s="47">
        <v>1.0</v>
      </c>
      <c r="L296" s="47">
        <v>5.0</v>
      </c>
      <c r="M296" s="47">
        <v>5.0</v>
      </c>
      <c r="N296" s="47">
        <v>5.0</v>
      </c>
      <c r="O296" s="47">
        <v>5.0</v>
      </c>
      <c r="P296" s="37"/>
      <c r="Q296" s="42">
        <f t="shared" si="109"/>
        <v>0</v>
      </c>
      <c r="R296" s="42">
        <f t="shared" si="110"/>
        <v>4</v>
      </c>
      <c r="S296" s="42">
        <f t="shared" si="111"/>
        <v>4</v>
      </c>
      <c r="T296" s="42">
        <f t="shared" si="112"/>
        <v>4</v>
      </c>
      <c r="U296" s="42">
        <f t="shared" si="113"/>
        <v>2</v>
      </c>
      <c r="V296" s="42">
        <f t="shared" si="114"/>
        <v>4</v>
      </c>
      <c r="W296" s="42">
        <f t="shared" si="115"/>
        <v>4</v>
      </c>
      <c r="X296" s="42">
        <f t="shared" si="116"/>
        <v>0</v>
      </c>
      <c r="Y296" s="42">
        <f t="shared" si="117"/>
        <v>4</v>
      </c>
      <c r="Z296" s="42">
        <f t="shared" si="118"/>
        <v>0</v>
      </c>
      <c r="AA296" s="52">
        <f t="shared" si="119"/>
        <v>26</v>
      </c>
      <c r="AB296" s="53">
        <f t="shared" si="120"/>
        <v>65</v>
      </c>
    </row>
    <row r="297" ht="15.75" customHeight="1">
      <c r="B297" s="43">
        <v>23.0</v>
      </c>
      <c r="C297" s="57" t="s">
        <v>223</v>
      </c>
      <c r="D297" s="43">
        <v>18.0</v>
      </c>
      <c r="E297" s="43" t="s">
        <v>200</v>
      </c>
      <c r="F297" s="47">
        <v>2.0</v>
      </c>
      <c r="G297" s="47">
        <v>2.0</v>
      </c>
      <c r="H297" s="47">
        <v>5.0</v>
      </c>
      <c r="I297" s="47">
        <v>3.0</v>
      </c>
      <c r="J297" s="47">
        <v>4.0</v>
      </c>
      <c r="K297" s="47">
        <v>2.0</v>
      </c>
      <c r="L297" s="47">
        <v>4.0</v>
      </c>
      <c r="M297" s="47">
        <v>5.0</v>
      </c>
      <c r="N297" s="47">
        <v>5.0</v>
      </c>
      <c r="O297" s="47">
        <v>5.0</v>
      </c>
      <c r="P297" s="37"/>
      <c r="Q297" s="42">
        <f t="shared" si="109"/>
        <v>1</v>
      </c>
      <c r="R297" s="42">
        <f t="shared" si="110"/>
        <v>3</v>
      </c>
      <c r="S297" s="42">
        <f t="shared" si="111"/>
        <v>4</v>
      </c>
      <c r="T297" s="42">
        <f t="shared" si="112"/>
        <v>2</v>
      </c>
      <c r="U297" s="42">
        <f t="shared" si="113"/>
        <v>3</v>
      </c>
      <c r="V297" s="42">
        <f t="shared" si="114"/>
        <v>3</v>
      </c>
      <c r="W297" s="42">
        <f t="shared" si="115"/>
        <v>3</v>
      </c>
      <c r="X297" s="42">
        <f t="shared" si="116"/>
        <v>0</v>
      </c>
      <c r="Y297" s="42">
        <f t="shared" si="117"/>
        <v>4</v>
      </c>
      <c r="Z297" s="42">
        <f t="shared" si="118"/>
        <v>0</v>
      </c>
      <c r="AA297" s="52">
        <f t="shared" si="119"/>
        <v>23</v>
      </c>
      <c r="AB297" s="53">
        <f t="shared" si="120"/>
        <v>57.5</v>
      </c>
    </row>
    <row r="298" ht="15.75" customHeight="1">
      <c r="B298" s="43">
        <v>24.0</v>
      </c>
      <c r="C298" s="57" t="s">
        <v>224</v>
      </c>
      <c r="D298" s="43">
        <v>19.0</v>
      </c>
      <c r="E298" s="43" t="s">
        <v>202</v>
      </c>
      <c r="F298" s="47">
        <v>2.0</v>
      </c>
      <c r="G298" s="47">
        <v>1.0</v>
      </c>
      <c r="H298" s="47">
        <v>4.0</v>
      </c>
      <c r="I298" s="47">
        <v>4.0</v>
      </c>
      <c r="J298" s="47">
        <v>2.0</v>
      </c>
      <c r="K298" s="47">
        <v>4.0</v>
      </c>
      <c r="L298" s="47">
        <v>3.0</v>
      </c>
      <c r="M298" s="47">
        <v>5.0</v>
      </c>
      <c r="N298" s="47">
        <v>1.0</v>
      </c>
      <c r="O298" s="47">
        <v>2.0</v>
      </c>
      <c r="P298" s="37"/>
      <c r="Q298" s="42">
        <f t="shared" si="109"/>
        <v>1</v>
      </c>
      <c r="R298" s="42">
        <f t="shared" si="110"/>
        <v>4</v>
      </c>
      <c r="S298" s="42">
        <f t="shared" si="111"/>
        <v>3</v>
      </c>
      <c r="T298" s="42">
        <f t="shared" si="112"/>
        <v>1</v>
      </c>
      <c r="U298" s="42">
        <f t="shared" si="113"/>
        <v>1</v>
      </c>
      <c r="V298" s="42">
        <f t="shared" si="114"/>
        <v>1</v>
      </c>
      <c r="W298" s="42">
        <f t="shared" si="115"/>
        <v>2</v>
      </c>
      <c r="X298" s="42">
        <f t="shared" si="116"/>
        <v>0</v>
      </c>
      <c r="Y298" s="42">
        <f t="shared" si="117"/>
        <v>0</v>
      </c>
      <c r="Z298" s="42">
        <f t="shared" si="118"/>
        <v>3</v>
      </c>
      <c r="AA298" s="52">
        <f t="shared" si="119"/>
        <v>16</v>
      </c>
      <c r="AB298" s="53">
        <f t="shared" si="120"/>
        <v>40</v>
      </c>
    </row>
    <row r="299" ht="15.75" customHeight="1">
      <c r="B299" s="43">
        <v>25.0</v>
      </c>
      <c r="C299" s="57" t="s">
        <v>225</v>
      </c>
      <c r="D299" s="43">
        <v>20.0</v>
      </c>
      <c r="E299" s="43" t="s">
        <v>200</v>
      </c>
      <c r="F299" s="47">
        <v>3.0</v>
      </c>
      <c r="G299" s="47">
        <v>4.0</v>
      </c>
      <c r="H299" s="47">
        <v>1.0</v>
      </c>
      <c r="I299" s="47">
        <v>5.0</v>
      </c>
      <c r="J299" s="47">
        <v>3.0</v>
      </c>
      <c r="K299" s="47">
        <v>2.0</v>
      </c>
      <c r="L299" s="47">
        <v>5.0</v>
      </c>
      <c r="M299" s="47">
        <v>1.0</v>
      </c>
      <c r="N299" s="47">
        <v>2.0</v>
      </c>
      <c r="O299" s="47">
        <v>5.0</v>
      </c>
      <c r="P299" s="37"/>
      <c r="Q299" s="42">
        <f t="shared" si="109"/>
        <v>2</v>
      </c>
      <c r="R299" s="42">
        <f t="shared" si="110"/>
        <v>1</v>
      </c>
      <c r="S299" s="42">
        <f t="shared" si="111"/>
        <v>0</v>
      </c>
      <c r="T299" s="42">
        <f t="shared" si="112"/>
        <v>0</v>
      </c>
      <c r="U299" s="42">
        <f t="shared" si="113"/>
        <v>2</v>
      </c>
      <c r="V299" s="42">
        <f t="shared" si="114"/>
        <v>3</v>
      </c>
      <c r="W299" s="42">
        <f t="shared" si="115"/>
        <v>4</v>
      </c>
      <c r="X299" s="42">
        <f t="shared" si="116"/>
        <v>4</v>
      </c>
      <c r="Y299" s="42">
        <f t="shared" si="117"/>
        <v>1</v>
      </c>
      <c r="Z299" s="42">
        <f t="shared" si="118"/>
        <v>0</v>
      </c>
      <c r="AA299" s="52">
        <f t="shared" si="119"/>
        <v>17</v>
      </c>
      <c r="AB299" s="53">
        <f t="shared" si="120"/>
        <v>42.5</v>
      </c>
    </row>
    <row r="300" ht="15.75" customHeight="1">
      <c r="B300" s="54"/>
      <c r="C300" s="41" t="s">
        <v>226</v>
      </c>
      <c r="D300" s="55">
        <f>AVERAGE(D275:D299)</f>
        <v>24.16</v>
      </c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37"/>
      <c r="Q300" s="38" t="s">
        <v>227</v>
      </c>
      <c r="R300" s="35"/>
      <c r="S300" s="35"/>
      <c r="T300" s="35"/>
      <c r="U300" s="35"/>
      <c r="V300" s="35"/>
      <c r="W300" s="35"/>
      <c r="X300" s="35"/>
      <c r="Y300" s="35"/>
      <c r="Z300" s="35"/>
      <c r="AA300" s="36"/>
      <c r="AB300" s="56">
        <f>AVERAGE(AB275:AB299)</f>
        <v>54.5</v>
      </c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</sheetData>
  <mergeCells count="90">
    <mergeCell ref="C183:C184"/>
    <mergeCell ref="D183:D184"/>
    <mergeCell ref="E183:E184"/>
    <mergeCell ref="F183:O183"/>
    <mergeCell ref="B123:B124"/>
    <mergeCell ref="B153:B154"/>
    <mergeCell ref="C153:C154"/>
    <mergeCell ref="D153:D154"/>
    <mergeCell ref="E153:E154"/>
    <mergeCell ref="F153:O153"/>
    <mergeCell ref="B183:B184"/>
    <mergeCell ref="Q183:Z183"/>
    <mergeCell ref="Q210:AA210"/>
    <mergeCell ref="B213:B214"/>
    <mergeCell ref="C213:C214"/>
    <mergeCell ref="D213:D214"/>
    <mergeCell ref="E213:E214"/>
    <mergeCell ref="F213:O213"/>
    <mergeCell ref="E243:E244"/>
    <mergeCell ref="F243:O243"/>
    <mergeCell ref="B273:B274"/>
    <mergeCell ref="C273:C274"/>
    <mergeCell ref="D273:D274"/>
    <mergeCell ref="E273:E274"/>
    <mergeCell ref="F273:O273"/>
    <mergeCell ref="Q243:Z243"/>
    <mergeCell ref="AA243:AA244"/>
    <mergeCell ref="Q270:AA270"/>
    <mergeCell ref="Q273:Z273"/>
    <mergeCell ref="AA273:AA274"/>
    <mergeCell ref="AB273:AB274"/>
    <mergeCell ref="Q300:AA300"/>
    <mergeCell ref="Q213:Z213"/>
    <mergeCell ref="AA213:AA214"/>
    <mergeCell ref="AB213:AB214"/>
    <mergeCell ref="Q240:AA240"/>
    <mergeCell ref="B243:B244"/>
    <mergeCell ref="C243:C244"/>
    <mergeCell ref="D243:D244"/>
    <mergeCell ref="AB243:AB244"/>
    <mergeCell ref="B2:B3"/>
    <mergeCell ref="C2:C3"/>
    <mergeCell ref="D2:D3"/>
    <mergeCell ref="E2:E3"/>
    <mergeCell ref="F2:O2"/>
    <mergeCell ref="AA2:AA3"/>
    <mergeCell ref="AB2:AB3"/>
    <mergeCell ref="Q2:Z2"/>
    <mergeCell ref="Q29:AA29"/>
    <mergeCell ref="B33:B34"/>
    <mergeCell ref="C33:C34"/>
    <mergeCell ref="D33:D34"/>
    <mergeCell ref="E33:E34"/>
    <mergeCell ref="F33:O33"/>
    <mergeCell ref="Q33:Z33"/>
    <mergeCell ref="AA33:AA34"/>
    <mergeCell ref="AB33:AB34"/>
    <mergeCell ref="Q60:AA60"/>
    <mergeCell ref="B63:B64"/>
    <mergeCell ref="C63:C64"/>
    <mergeCell ref="D63:D64"/>
    <mergeCell ref="AB63:AB64"/>
    <mergeCell ref="E63:E64"/>
    <mergeCell ref="F63:O63"/>
    <mergeCell ref="B93:B94"/>
    <mergeCell ref="C93:C94"/>
    <mergeCell ref="D93:D94"/>
    <mergeCell ref="E93:E94"/>
    <mergeCell ref="F93:O93"/>
    <mergeCell ref="C123:C124"/>
    <mergeCell ref="D123:D124"/>
    <mergeCell ref="E123:E124"/>
    <mergeCell ref="F123:O123"/>
    <mergeCell ref="Q123:Z123"/>
    <mergeCell ref="AA123:AA124"/>
    <mergeCell ref="AB123:AB124"/>
    <mergeCell ref="Q63:Z63"/>
    <mergeCell ref="AA63:AA64"/>
    <mergeCell ref="Q90:AA90"/>
    <mergeCell ref="Q93:Z93"/>
    <mergeCell ref="AA93:AA94"/>
    <mergeCell ref="AB93:AB94"/>
    <mergeCell ref="Q120:AA120"/>
    <mergeCell ref="Q150:AA150"/>
    <mergeCell ref="Q153:Z153"/>
    <mergeCell ref="AA153:AA154"/>
    <mergeCell ref="AB153:AB154"/>
    <mergeCell ref="Q180:AA180"/>
    <mergeCell ref="AA183:AA184"/>
    <mergeCell ref="AB183:AB18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22.63"/>
    <col customWidth="1" min="3" max="6" width="19.75"/>
    <col customWidth="1" min="7" max="9" width="20.38"/>
    <col customWidth="1" min="10" max="10" width="21.0"/>
    <col customWidth="1" min="11" max="13" width="20.88"/>
    <col customWidth="1" min="14" max="14" width="21.25"/>
    <col customWidth="1" min="15" max="15" width="21.13"/>
    <col customWidth="1" min="16" max="16" width="21.0"/>
    <col customWidth="1" min="17" max="17" width="8.75"/>
    <col customWidth="1" min="18" max="31" width="14.38"/>
  </cols>
  <sheetData>
    <row r="1" ht="33.75" customHeight="1">
      <c r="A1" s="58" t="s">
        <v>238</v>
      </c>
    </row>
    <row r="2" ht="32.25" customHeight="1">
      <c r="A2" s="59" t="s">
        <v>239</v>
      </c>
    </row>
    <row r="3">
      <c r="A3" s="60" t="s">
        <v>240</v>
      </c>
      <c r="B3" s="61" t="s">
        <v>241</v>
      </c>
      <c r="C3" s="62" t="s">
        <v>242</v>
      </c>
      <c r="D3" s="62" t="s">
        <v>243</v>
      </c>
      <c r="E3" s="62" t="s">
        <v>96</v>
      </c>
      <c r="F3" s="63" t="s">
        <v>97</v>
      </c>
      <c r="G3" s="62" t="s">
        <v>98</v>
      </c>
      <c r="H3" s="63" t="s">
        <v>120</v>
      </c>
      <c r="I3" s="62" t="s">
        <v>121</v>
      </c>
      <c r="J3" s="62" t="s">
        <v>122</v>
      </c>
      <c r="K3" s="63" t="s">
        <v>141</v>
      </c>
      <c r="L3" s="62" t="s">
        <v>142</v>
      </c>
      <c r="M3" s="62" t="s">
        <v>143</v>
      </c>
      <c r="N3" s="62" t="s">
        <v>162</v>
      </c>
      <c r="O3" s="63" t="s">
        <v>162</v>
      </c>
      <c r="P3" s="62" t="s">
        <v>164</v>
      </c>
      <c r="Q3" s="64" t="s">
        <v>244</v>
      </c>
    </row>
    <row r="4">
      <c r="A4" s="14" t="s">
        <v>64</v>
      </c>
      <c r="B4" s="65">
        <v>0.0</v>
      </c>
      <c r="C4" s="66">
        <v>1.0</v>
      </c>
      <c r="D4" s="66">
        <v>0.0</v>
      </c>
      <c r="E4" s="66">
        <v>0.0</v>
      </c>
      <c r="F4" s="66">
        <v>0.0</v>
      </c>
      <c r="G4" s="66">
        <v>1.0</v>
      </c>
      <c r="H4" s="66">
        <v>1.0</v>
      </c>
      <c r="I4" s="66">
        <v>0.0</v>
      </c>
      <c r="J4" s="66">
        <v>0.0</v>
      </c>
      <c r="K4" s="66">
        <v>1.0</v>
      </c>
      <c r="L4" s="66">
        <v>0.0</v>
      </c>
      <c r="M4" s="66">
        <v>0.0</v>
      </c>
      <c r="N4" s="66">
        <v>0.0</v>
      </c>
      <c r="O4" s="67">
        <v>1.0</v>
      </c>
      <c r="P4" s="67">
        <v>0.0</v>
      </c>
      <c r="Q4" s="68">
        <v>60.0</v>
      </c>
    </row>
    <row r="5">
      <c r="A5" s="14" t="s">
        <v>68</v>
      </c>
      <c r="B5" s="65">
        <v>0.0</v>
      </c>
      <c r="C5" s="65">
        <v>0.0</v>
      </c>
      <c r="D5" s="65">
        <v>1.0</v>
      </c>
      <c r="E5" s="65">
        <v>0.0</v>
      </c>
      <c r="F5" s="65">
        <v>1.0</v>
      </c>
      <c r="G5" s="65">
        <v>0.0</v>
      </c>
      <c r="H5" s="65">
        <v>0.0</v>
      </c>
      <c r="I5" s="65">
        <v>0.0</v>
      </c>
      <c r="J5" s="65">
        <v>1.0</v>
      </c>
      <c r="K5" s="65">
        <v>0.0</v>
      </c>
      <c r="L5" s="65">
        <v>1.0</v>
      </c>
      <c r="M5" s="65">
        <v>0.0</v>
      </c>
      <c r="N5" s="65">
        <v>0.0</v>
      </c>
      <c r="O5" s="65">
        <v>1.0</v>
      </c>
      <c r="P5" s="65">
        <v>0.0</v>
      </c>
      <c r="Q5" s="69">
        <v>58.0</v>
      </c>
    </row>
    <row r="6">
      <c r="A6" s="14" t="s">
        <v>71</v>
      </c>
      <c r="B6" s="70">
        <v>0.0</v>
      </c>
      <c r="C6" s="65">
        <v>0.0</v>
      </c>
      <c r="D6" s="65">
        <v>1.0</v>
      </c>
      <c r="E6" s="65">
        <v>0.0</v>
      </c>
      <c r="F6" s="65">
        <v>1.0</v>
      </c>
      <c r="G6" s="65">
        <v>0.0</v>
      </c>
      <c r="H6" s="65">
        <v>0.0</v>
      </c>
      <c r="I6" s="65">
        <v>0.0</v>
      </c>
      <c r="J6" s="65">
        <v>1.0</v>
      </c>
      <c r="K6" s="65">
        <v>1.0</v>
      </c>
      <c r="L6" s="65">
        <v>0.0</v>
      </c>
      <c r="M6" s="65">
        <v>0.0</v>
      </c>
      <c r="N6" s="65">
        <v>0.0</v>
      </c>
      <c r="O6" s="65">
        <v>1.0</v>
      </c>
      <c r="P6" s="65">
        <v>0.0</v>
      </c>
      <c r="Q6" s="69">
        <v>54.0</v>
      </c>
    </row>
    <row r="7">
      <c r="A7" s="14" t="s">
        <v>74</v>
      </c>
      <c r="B7" s="65">
        <v>0.0</v>
      </c>
      <c r="C7" s="65">
        <v>1.0</v>
      </c>
      <c r="D7" s="65">
        <v>0.0</v>
      </c>
      <c r="E7" s="65">
        <v>0.0</v>
      </c>
      <c r="F7" s="65">
        <v>1.0</v>
      </c>
      <c r="G7" s="65">
        <v>0.0</v>
      </c>
      <c r="H7" s="65">
        <v>0.0</v>
      </c>
      <c r="I7" s="65">
        <v>1.0</v>
      </c>
      <c r="J7" s="65">
        <v>0.0</v>
      </c>
      <c r="K7" s="65">
        <v>0.0</v>
      </c>
      <c r="L7" s="65">
        <v>1.0</v>
      </c>
      <c r="M7" s="65">
        <v>0.0</v>
      </c>
      <c r="N7" s="65">
        <v>0.0</v>
      </c>
      <c r="O7" s="65">
        <v>1.0</v>
      </c>
      <c r="P7" s="65">
        <v>0.0</v>
      </c>
      <c r="Q7" s="69">
        <v>49.0</v>
      </c>
    </row>
    <row r="8">
      <c r="A8" s="14" t="s">
        <v>77</v>
      </c>
      <c r="B8" s="65">
        <v>0.0</v>
      </c>
      <c r="C8" s="65">
        <v>1.0</v>
      </c>
      <c r="D8" s="65">
        <v>0.0</v>
      </c>
      <c r="E8" s="65">
        <v>0.0</v>
      </c>
      <c r="F8" s="65">
        <v>1.0</v>
      </c>
      <c r="G8" s="65">
        <v>0.0</v>
      </c>
      <c r="H8" s="65">
        <v>0.0</v>
      </c>
      <c r="I8" s="65">
        <v>1.0</v>
      </c>
      <c r="J8" s="65">
        <v>0.0</v>
      </c>
      <c r="K8" s="65">
        <v>1.0</v>
      </c>
      <c r="L8" s="65">
        <v>0.0</v>
      </c>
      <c r="M8" s="65">
        <v>0.0</v>
      </c>
      <c r="N8" s="65">
        <v>0.0</v>
      </c>
      <c r="O8" s="65">
        <v>1.0</v>
      </c>
      <c r="P8" s="65">
        <v>0.0</v>
      </c>
      <c r="Q8" s="69">
        <v>53.0</v>
      </c>
    </row>
    <row r="9">
      <c r="A9" s="14" t="s">
        <v>80</v>
      </c>
      <c r="B9" s="70">
        <v>0.0</v>
      </c>
      <c r="C9" s="65">
        <v>1.0</v>
      </c>
      <c r="D9" s="65">
        <v>0.0</v>
      </c>
      <c r="E9" s="65">
        <v>0.0</v>
      </c>
      <c r="F9" s="65">
        <v>1.0</v>
      </c>
      <c r="G9" s="65">
        <v>0.0</v>
      </c>
      <c r="H9" s="65">
        <v>0.0</v>
      </c>
      <c r="I9" s="65">
        <v>1.0</v>
      </c>
      <c r="J9" s="65">
        <v>0.0</v>
      </c>
      <c r="K9" s="65">
        <v>1.0</v>
      </c>
      <c r="L9" s="65">
        <v>0.0</v>
      </c>
      <c r="M9" s="65">
        <v>0.0</v>
      </c>
      <c r="N9" s="65">
        <v>0.0</v>
      </c>
      <c r="O9" s="65">
        <v>1.0</v>
      </c>
      <c r="P9" s="65">
        <v>0.0</v>
      </c>
      <c r="Q9" s="71">
        <v>55.0</v>
      </c>
    </row>
    <row r="10">
      <c r="A10" s="14" t="s">
        <v>83</v>
      </c>
      <c r="B10" s="65">
        <v>0.0</v>
      </c>
      <c r="C10" s="65">
        <v>0.0</v>
      </c>
      <c r="D10" s="65">
        <v>1.0</v>
      </c>
      <c r="E10" s="65">
        <v>0.0</v>
      </c>
      <c r="F10" s="65">
        <v>1.0</v>
      </c>
      <c r="G10" s="65">
        <v>0.0</v>
      </c>
      <c r="H10" s="65">
        <v>0.0</v>
      </c>
      <c r="I10" s="65">
        <v>1.0</v>
      </c>
      <c r="J10" s="65">
        <v>0.0</v>
      </c>
      <c r="K10" s="65">
        <v>1.0</v>
      </c>
      <c r="L10" s="65">
        <v>0.0</v>
      </c>
      <c r="M10" s="65">
        <v>0.0</v>
      </c>
      <c r="N10" s="65">
        <v>0.0</v>
      </c>
      <c r="O10" s="65">
        <v>1.0</v>
      </c>
      <c r="P10" s="65">
        <v>0.0</v>
      </c>
      <c r="Q10" s="71">
        <v>54.0</v>
      </c>
    </row>
    <row r="11">
      <c r="A11" s="14" t="s">
        <v>86</v>
      </c>
      <c r="B11" s="65">
        <v>0.0</v>
      </c>
      <c r="C11" s="65">
        <v>0.0</v>
      </c>
      <c r="D11" s="65">
        <v>1.0</v>
      </c>
      <c r="E11" s="65">
        <v>1.0</v>
      </c>
      <c r="F11" s="65">
        <v>0.0</v>
      </c>
      <c r="G11" s="65">
        <v>0.0</v>
      </c>
      <c r="H11" s="65">
        <v>0.0</v>
      </c>
      <c r="I11" s="65">
        <v>1.0</v>
      </c>
      <c r="J11" s="65">
        <v>0.0</v>
      </c>
      <c r="K11" s="65">
        <v>1.0</v>
      </c>
      <c r="L11" s="65">
        <v>0.0</v>
      </c>
      <c r="M11" s="65">
        <v>0.0</v>
      </c>
      <c r="N11" s="65">
        <v>1.0</v>
      </c>
      <c r="O11" s="65">
        <v>0.0</v>
      </c>
      <c r="P11" s="65">
        <v>0.0</v>
      </c>
      <c r="Q11" s="69">
        <v>51.0</v>
      </c>
    </row>
    <row r="12">
      <c r="A12" s="14" t="s">
        <v>89</v>
      </c>
      <c r="B12" s="70">
        <v>0.0</v>
      </c>
      <c r="C12" s="65">
        <v>1.0</v>
      </c>
      <c r="D12" s="65">
        <v>0.0</v>
      </c>
      <c r="E12" s="65">
        <v>0.0</v>
      </c>
      <c r="F12" s="65">
        <v>1.0</v>
      </c>
      <c r="G12" s="65">
        <v>0.0</v>
      </c>
      <c r="H12" s="65">
        <v>0.0</v>
      </c>
      <c r="I12" s="65">
        <v>1.0</v>
      </c>
      <c r="J12" s="65">
        <v>0.0</v>
      </c>
      <c r="K12" s="65">
        <v>1.0</v>
      </c>
      <c r="L12" s="65">
        <v>0.0</v>
      </c>
      <c r="M12" s="65">
        <v>0.0</v>
      </c>
      <c r="N12" s="65">
        <v>1.0</v>
      </c>
      <c r="O12" s="65">
        <v>0.0</v>
      </c>
      <c r="P12" s="65">
        <v>0.0</v>
      </c>
      <c r="Q12" s="71">
        <v>53.0</v>
      </c>
    </row>
    <row r="13">
      <c r="A13" s="14" t="s">
        <v>92</v>
      </c>
      <c r="B13" s="65">
        <v>0.0</v>
      </c>
      <c r="C13" s="72">
        <v>1.0</v>
      </c>
      <c r="D13" s="72">
        <v>0.0</v>
      </c>
      <c r="E13" s="72">
        <v>0.0</v>
      </c>
      <c r="F13" s="72">
        <v>1.0</v>
      </c>
      <c r="G13" s="72">
        <v>0.0</v>
      </c>
      <c r="H13" s="72">
        <v>1.0</v>
      </c>
      <c r="I13" s="72">
        <v>0.0</v>
      </c>
      <c r="J13" s="72">
        <v>0.0</v>
      </c>
      <c r="K13" s="72">
        <v>0.0</v>
      </c>
      <c r="L13" s="72">
        <v>1.0</v>
      </c>
      <c r="M13" s="72">
        <v>0.0</v>
      </c>
      <c r="N13" s="72">
        <v>0.0</v>
      </c>
      <c r="O13" s="72">
        <v>1.0</v>
      </c>
      <c r="P13" s="72">
        <v>0.0</v>
      </c>
      <c r="Q13" s="73">
        <v>55.0</v>
      </c>
    </row>
    <row r="14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5"/>
      <c r="N14" s="74"/>
      <c r="O14" s="74"/>
      <c r="P14" s="74"/>
    </row>
    <row r="15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</row>
    <row r="16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</row>
    <row r="17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</row>
    <row r="18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</row>
    <row r="19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</row>
    <row r="20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</row>
    <row r="21" ht="15.7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</row>
    <row r="22" ht="15.7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</row>
    <row r="23" ht="15.75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</row>
    <row r="24" ht="15.7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</row>
    <row r="25" ht="15.7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</row>
    <row r="26" ht="15.7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</row>
    <row r="27" ht="15.7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</row>
    <row r="28" ht="15.7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</row>
    <row r="29" ht="15.7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</row>
    <row r="30" ht="15.7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</row>
    <row r="31" ht="15.7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</row>
    <row r="32" ht="15.7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</row>
    <row r="33" ht="15.7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</row>
    <row r="34" ht="15.7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</row>
    <row r="35" ht="15.7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</row>
    <row r="36" ht="15.7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</row>
    <row r="37" ht="15.7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</row>
    <row r="38" ht="15.7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</row>
    <row r="39" ht="15.75" customHeight="1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</row>
    <row r="40" ht="15.7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</row>
    <row r="41" ht="15.75" customHeight="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</row>
    <row r="42" ht="15.7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</row>
    <row r="43" ht="15.7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</row>
    <row r="44" ht="15.7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</row>
    <row r="45" ht="15.7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</row>
    <row r="46" ht="15.7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</row>
    <row r="47" ht="15.7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</row>
    <row r="48" ht="15.7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</row>
    <row r="49" ht="15.7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</row>
    <row r="50" ht="15.7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</row>
    <row r="51" ht="15.7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</row>
    <row r="52" ht="15.7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</row>
    <row r="53" ht="15.7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</row>
    <row r="54" ht="15.7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</row>
    <row r="55" ht="15.7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</row>
    <row r="56" ht="15.7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</row>
    <row r="57" ht="15.7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</row>
    <row r="58" ht="15.7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</row>
    <row r="59" ht="15.7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</row>
    <row r="60" ht="15.7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</row>
    <row r="61" ht="15.7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</row>
    <row r="62" ht="15.7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</row>
    <row r="63" ht="15.7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</row>
    <row r="64" ht="15.7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</row>
    <row r="66" ht="15.7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</row>
    <row r="71" ht="15.7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</row>
    <row r="72" ht="15.7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</row>
    <row r="73" ht="15.7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</row>
    <row r="74" ht="15.7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</row>
    <row r="75" ht="15.7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</row>
    <row r="76" ht="15.7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</row>
    <row r="77" ht="15.7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</row>
    <row r="78" ht="15.7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</row>
    <row r="79" ht="15.7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</row>
    <row r="80" ht="15.7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</row>
    <row r="81" ht="15.7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</row>
    <row r="82" ht="15.7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</row>
    <row r="83" ht="15.7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</row>
    <row r="84" ht="15.7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</row>
    <row r="85" ht="15.7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</row>
    <row r="86" ht="15.7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</row>
    <row r="87" ht="15.7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</row>
    <row r="88" ht="15.7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</row>
    <row r="89" ht="15.7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</row>
    <row r="90" ht="15.7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</row>
    <row r="91" ht="15.7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</row>
    <row r="92" ht="15.7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</row>
    <row r="93" ht="15.7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</row>
    <row r="94" ht="15.7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</row>
    <row r="95" ht="15.7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</row>
    <row r="96" ht="15.7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</row>
    <row r="97" ht="15.7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</row>
    <row r="98" ht="15.7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</row>
    <row r="99" ht="15.7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</row>
    <row r="100" ht="15.7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2:Q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8.75"/>
    <col customWidth="1" min="2" max="3" width="8.75"/>
    <col customWidth="1" min="4" max="4" width="23.0"/>
    <col customWidth="1" min="5" max="23" width="8.75"/>
    <col customWidth="1" min="24" max="51" width="14.38"/>
  </cols>
  <sheetData>
    <row r="1">
      <c r="A1" s="6" t="s">
        <v>245</v>
      </c>
      <c r="D1" s="60" t="s">
        <v>240</v>
      </c>
      <c r="E1" s="63" t="s">
        <v>241</v>
      </c>
      <c r="F1" s="63" t="s">
        <v>97</v>
      </c>
      <c r="G1" s="63" t="s">
        <v>96</v>
      </c>
      <c r="H1" s="63" t="s">
        <v>97</v>
      </c>
      <c r="I1" s="63" t="s">
        <v>120</v>
      </c>
      <c r="J1" s="63" t="s">
        <v>121</v>
      </c>
      <c r="K1" s="63" t="s">
        <v>141</v>
      </c>
      <c r="L1" s="63" t="s">
        <v>142</v>
      </c>
      <c r="M1" s="63" t="s">
        <v>162</v>
      </c>
      <c r="N1" s="63" t="s">
        <v>163</v>
      </c>
      <c r="O1" s="64" t="s">
        <v>244</v>
      </c>
      <c r="P1" s="76"/>
      <c r="Q1" s="76"/>
      <c r="R1" s="76"/>
      <c r="S1" s="76"/>
      <c r="T1" s="77"/>
    </row>
    <row r="2">
      <c r="D2" s="78" t="s">
        <v>246</v>
      </c>
      <c r="E2" s="67">
        <v>1.0</v>
      </c>
      <c r="F2" s="67">
        <v>0.0</v>
      </c>
      <c r="G2" s="67">
        <v>1.0</v>
      </c>
      <c r="H2" s="67">
        <v>0.0</v>
      </c>
      <c r="I2" s="67">
        <v>1.0</v>
      </c>
      <c r="J2" s="67">
        <v>0.0</v>
      </c>
      <c r="K2" s="67">
        <v>1.0</v>
      </c>
      <c r="L2" s="67">
        <v>0.0</v>
      </c>
      <c r="M2" s="67">
        <v>1.0</v>
      </c>
      <c r="N2" s="67">
        <v>0.0</v>
      </c>
      <c r="O2" s="68">
        <v>60.0</v>
      </c>
      <c r="P2" s="79"/>
      <c r="Q2" s="79"/>
      <c r="R2" s="79"/>
      <c r="S2" s="79"/>
      <c r="T2" s="79"/>
    </row>
    <row r="3">
      <c r="A3" s="3" t="s">
        <v>247</v>
      </c>
      <c r="D3" s="80" t="s">
        <v>248</v>
      </c>
      <c r="E3" s="70">
        <v>1.0</v>
      </c>
      <c r="F3" s="70">
        <v>0.0</v>
      </c>
      <c r="G3" s="70">
        <v>0.0</v>
      </c>
      <c r="H3" s="70">
        <v>1.0</v>
      </c>
      <c r="I3" s="70">
        <v>1.0</v>
      </c>
      <c r="J3" s="70">
        <v>0.0</v>
      </c>
      <c r="K3" s="70">
        <v>0.0</v>
      </c>
      <c r="L3" s="70">
        <v>1.0</v>
      </c>
      <c r="M3" s="70">
        <v>0.0</v>
      </c>
      <c r="N3" s="70">
        <v>1.0</v>
      </c>
      <c r="O3" s="71">
        <v>57.0</v>
      </c>
      <c r="P3" s="79"/>
      <c r="Q3" s="79"/>
      <c r="R3" s="79"/>
      <c r="S3" s="79"/>
      <c r="T3" s="79"/>
    </row>
    <row r="4">
      <c r="D4" s="80" t="s">
        <v>249</v>
      </c>
      <c r="E4" s="70">
        <v>0.0</v>
      </c>
      <c r="F4" s="70">
        <v>1.0</v>
      </c>
      <c r="G4" s="70">
        <v>0.0</v>
      </c>
      <c r="H4" s="70">
        <v>1.0</v>
      </c>
      <c r="I4" s="70">
        <v>0.0</v>
      </c>
      <c r="J4" s="70">
        <v>1.0</v>
      </c>
      <c r="K4" s="70">
        <v>1.0</v>
      </c>
      <c r="L4" s="70">
        <v>0.0</v>
      </c>
      <c r="M4" s="70">
        <v>1.0</v>
      </c>
      <c r="N4" s="70">
        <v>0.0</v>
      </c>
      <c r="O4" s="71">
        <v>55.0</v>
      </c>
      <c r="P4" s="79"/>
      <c r="Q4" s="79"/>
      <c r="R4" s="79"/>
      <c r="S4" s="79"/>
      <c r="T4" s="79"/>
    </row>
    <row r="5">
      <c r="A5" s="81" t="s">
        <v>250</v>
      </c>
      <c r="D5" s="80" t="s">
        <v>251</v>
      </c>
      <c r="E5" s="70">
        <v>0.0</v>
      </c>
      <c r="F5" s="70">
        <v>1.0</v>
      </c>
      <c r="G5" s="70">
        <v>0.0</v>
      </c>
      <c r="H5" s="70">
        <v>1.0</v>
      </c>
      <c r="I5" s="70">
        <v>0.0</v>
      </c>
      <c r="J5" s="70">
        <v>1.0</v>
      </c>
      <c r="K5" s="70">
        <v>0.0</v>
      </c>
      <c r="L5" s="70">
        <v>1.0</v>
      </c>
      <c r="M5" s="70">
        <v>0.0</v>
      </c>
      <c r="N5" s="70">
        <v>1.0</v>
      </c>
      <c r="O5" s="71">
        <v>51.0</v>
      </c>
      <c r="P5" s="79"/>
      <c r="Q5" s="79"/>
      <c r="R5" s="79"/>
      <c r="S5" s="79"/>
      <c r="T5" s="79"/>
    </row>
    <row r="6">
      <c r="A6" s="82"/>
      <c r="D6" s="80" t="s">
        <v>252</v>
      </c>
      <c r="E6" s="70">
        <v>1.0</v>
      </c>
      <c r="F6" s="70">
        <v>0.0</v>
      </c>
      <c r="G6" s="70">
        <v>0.0</v>
      </c>
      <c r="H6" s="70">
        <v>1.0</v>
      </c>
      <c r="I6" s="70">
        <v>0.0</v>
      </c>
      <c r="J6" s="70">
        <v>1.0</v>
      </c>
      <c r="K6" s="70">
        <v>0.0</v>
      </c>
      <c r="L6" s="70">
        <v>1.0</v>
      </c>
      <c r="M6" s="70">
        <v>0.0</v>
      </c>
      <c r="N6" s="70">
        <v>1.0</v>
      </c>
      <c r="O6" s="71">
        <v>35.0</v>
      </c>
      <c r="P6" s="79"/>
      <c r="Q6" s="79"/>
      <c r="R6" s="79"/>
      <c r="S6" s="79"/>
      <c r="T6" s="79"/>
    </row>
    <row r="7">
      <c r="A7" s="82" t="s">
        <v>253</v>
      </c>
      <c r="D7" s="80" t="s">
        <v>254</v>
      </c>
      <c r="E7" s="70">
        <v>1.0</v>
      </c>
      <c r="F7" s="70">
        <v>0.0</v>
      </c>
      <c r="G7" s="70">
        <v>1.0</v>
      </c>
      <c r="H7" s="70">
        <v>0.0</v>
      </c>
      <c r="I7" s="70">
        <v>1.0</v>
      </c>
      <c r="J7" s="70">
        <v>0.0</v>
      </c>
      <c r="K7" s="70">
        <v>1.0</v>
      </c>
      <c r="L7" s="70">
        <v>0.0</v>
      </c>
      <c r="M7" s="70">
        <v>0.0</v>
      </c>
      <c r="N7" s="70">
        <v>1.0</v>
      </c>
      <c r="O7" s="71">
        <v>55.0</v>
      </c>
      <c r="P7" s="79"/>
      <c r="Q7" s="79"/>
      <c r="R7" s="79"/>
      <c r="S7" s="79"/>
      <c r="T7" s="79"/>
    </row>
    <row r="8">
      <c r="A8" s="82"/>
      <c r="D8" s="80" t="s">
        <v>255</v>
      </c>
      <c r="E8" s="70">
        <v>1.0</v>
      </c>
      <c r="F8" s="70">
        <v>0.0</v>
      </c>
      <c r="G8" s="70">
        <v>0.0</v>
      </c>
      <c r="H8" s="70">
        <v>1.0</v>
      </c>
      <c r="I8" s="70">
        <v>1.0</v>
      </c>
      <c r="J8" s="70">
        <v>0.0</v>
      </c>
      <c r="K8" s="70">
        <v>1.0</v>
      </c>
      <c r="L8" s="70">
        <v>0.0</v>
      </c>
      <c r="M8" s="70">
        <v>1.0</v>
      </c>
      <c r="N8" s="70">
        <v>0.0</v>
      </c>
      <c r="O8" s="71">
        <v>54.0</v>
      </c>
      <c r="P8" s="79"/>
      <c r="Q8" s="79"/>
      <c r="R8" s="79"/>
      <c r="S8" s="79"/>
      <c r="T8" s="79"/>
    </row>
    <row r="9">
      <c r="A9" s="82" t="s">
        <v>256</v>
      </c>
      <c r="D9" s="80" t="s">
        <v>257</v>
      </c>
      <c r="E9" s="70">
        <v>1.0</v>
      </c>
      <c r="F9" s="70">
        <v>0.0</v>
      </c>
      <c r="G9" s="70">
        <v>1.0</v>
      </c>
      <c r="H9" s="70">
        <v>0.0</v>
      </c>
      <c r="I9" s="70">
        <v>1.0</v>
      </c>
      <c r="J9" s="70">
        <v>0.0</v>
      </c>
      <c r="K9" s="70">
        <v>1.0</v>
      </c>
      <c r="L9" s="70">
        <v>0.0</v>
      </c>
      <c r="M9" s="70">
        <v>1.0</v>
      </c>
      <c r="N9" s="70">
        <v>0.0</v>
      </c>
      <c r="O9" s="71">
        <v>50.0</v>
      </c>
      <c r="P9" s="79"/>
      <c r="Q9" s="79"/>
      <c r="R9" s="79"/>
      <c r="S9" s="79"/>
      <c r="T9" s="79"/>
    </row>
    <row r="10">
      <c r="D10" s="80" t="s">
        <v>258</v>
      </c>
      <c r="E10" s="70">
        <v>1.0</v>
      </c>
      <c r="F10" s="70">
        <v>0.0</v>
      </c>
      <c r="G10" s="70">
        <v>0.0</v>
      </c>
      <c r="H10" s="70">
        <v>1.0</v>
      </c>
      <c r="I10" s="70">
        <v>1.0</v>
      </c>
      <c r="J10" s="70">
        <v>0.0</v>
      </c>
      <c r="K10" s="70">
        <v>0.0</v>
      </c>
      <c r="L10" s="70">
        <v>1.0</v>
      </c>
      <c r="M10" s="70">
        <v>0.0</v>
      </c>
      <c r="N10" s="70">
        <v>1.0</v>
      </c>
      <c r="O10" s="71">
        <v>53.0</v>
      </c>
      <c r="P10" s="79"/>
      <c r="Q10" s="79"/>
      <c r="R10" s="79"/>
      <c r="S10" s="79"/>
      <c r="T10" s="79"/>
    </row>
    <row r="11">
      <c r="A11" s="81" t="s">
        <v>259</v>
      </c>
      <c r="D11" s="83" t="s">
        <v>260</v>
      </c>
      <c r="E11" s="84">
        <v>1.0</v>
      </c>
      <c r="F11" s="84">
        <v>0.0</v>
      </c>
      <c r="G11" s="84">
        <v>0.0</v>
      </c>
      <c r="H11" s="84">
        <v>1.0</v>
      </c>
      <c r="I11" s="84">
        <v>1.0</v>
      </c>
      <c r="J11" s="84">
        <v>0.0</v>
      </c>
      <c r="K11" s="84">
        <v>1.0</v>
      </c>
      <c r="L11" s="84">
        <v>0.0</v>
      </c>
      <c r="M11" s="84">
        <v>0.0</v>
      </c>
      <c r="N11" s="84">
        <v>1.0</v>
      </c>
      <c r="O11" s="85">
        <v>66.0</v>
      </c>
      <c r="P11" s="79"/>
      <c r="Q11" s="79"/>
      <c r="R11" s="79"/>
      <c r="S11" s="79"/>
      <c r="T11" s="79"/>
    </row>
    <row r="12">
      <c r="A12" s="82"/>
    </row>
    <row r="13">
      <c r="A13" s="82" t="s">
        <v>261</v>
      </c>
    </row>
    <row r="14">
      <c r="A14" s="82"/>
    </row>
    <row r="15">
      <c r="A15" s="86" t="s">
        <v>262</v>
      </c>
    </row>
    <row r="16">
      <c r="A16" s="82"/>
    </row>
    <row r="17">
      <c r="A17" s="86" t="s">
        <v>263</v>
      </c>
    </row>
    <row r="18">
      <c r="A18" s="82"/>
    </row>
    <row r="19">
      <c r="A19" s="82" t="s">
        <v>264</v>
      </c>
    </row>
    <row r="21" ht="15.75" customHeight="1">
      <c r="A21" s="6" t="s">
        <v>265</v>
      </c>
    </row>
    <row r="22" ht="15.75" customHeight="1"/>
    <row r="23" ht="15.75" customHeight="1">
      <c r="A23" s="3" t="s">
        <v>266</v>
      </c>
    </row>
    <row r="24" ht="15.75" customHeight="1"/>
    <row r="25" ht="15.75" customHeight="1">
      <c r="A25" s="87" t="s">
        <v>267</v>
      </c>
      <c r="B25" s="88" t="s">
        <v>268</v>
      </c>
      <c r="C25" s="89"/>
    </row>
    <row r="26" ht="15.75" customHeight="1">
      <c r="A26" s="90" t="s">
        <v>269</v>
      </c>
      <c r="B26" s="91" t="s">
        <v>270</v>
      </c>
      <c r="C26" s="79"/>
    </row>
    <row r="27" ht="15.75" customHeight="1">
      <c r="A27" s="92" t="s">
        <v>271</v>
      </c>
      <c r="B27" s="71" t="s">
        <v>272</v>
      </c>
      <c r="C27" s="79"/>
    </row>
    <row r="28" ht="15.75" customHeight="1">
      <c r="A28" s="92" t="s">
        <v>273</v>
      </c>
      <c r="B28" s="71" t="s">
        <v>274</v>
      </c>
      <c r="C28" s="79"/>
    </row>
    <row r="29" ht="15.75" customHeight="1">
      <c r="A29" s="92" t="s">
        <v>275</v>
      </c>
      <c r="B29" s="71" t="s">
        <v>276</v>
      </c>
      <c r="C29" s="79"/>
    </row>
    <row r="30" ht="15.75" customHeight="1">
      <c r="A30" s="93" t="s">
        <v>270</v>
      </c>
      <c r="B30" s="85" t="s">
        <v>270</v>
      </c>
      <c r="C30" s="7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>
      <c r="D45" s="94"/>
    </row>
    <row r="46" ht="15.75" customHeight="1"/>
    <row r="47" ht="15.75" customHeight="1">
      <c r="O47" s="37" t="s">
        <v>277</v>
      </c>
      <c r="P47" s="37"/>
      <c r="Q47" s="37"/>
      <c r="R47" s="37"/>
      <c r="S47" s="37"/>
      <c r="T47" s="37"/>
      <c r="U47" s="37"/>
      <c r="V47" s="37"/>
      <c r="W47" s="37"/>
    </row>
    <row r="48" ht="15.75" customHeight="1">
      <c r="O48" s="37"/>
      <c r="P48" s="37"/>
      <c r="Q48" s="37"/>
      <c r="R48" s="37"/>
      <c r="S48" s="37"/>
      <c r="T48" s="37"/>
      <c r="U48" s="37"/>
      <c r="V48" s="37"/>
      <c r="W48" s="37"/>
    </row>
    <row r="49" ht="15.75" customHeight="1">
      <c r="D49" s="95"/>
      <c r="E49" s="95"/>
      <c r="O49" s="96" t="s">
        <v>278</v>
      </c>
      <c r="P49" s="97"/>
      <c r="Q49" s="37"/>
      <c r="R49" s="37"/>
      <c r="S49" s="37"/>
      <c r="T49" s="37"/>
      <c r="U49" s="37"/>
      <c r="V49" s="37"/>
      <c r="W49" s="37"/>
    </row>
    <row r="50" ht="15.75" customHeight="1">
      <c r="O50" s="37" t="s">
        <v>279</v>
      </c>
      <c r="P50" s="37">
        <v>0.5921874805403493</v>
      </c>
      <c r="Q50" s="37"/>
      <c r="R50" s="37"/>
      <c r="S50" s="37"/>
      <c r="T50" s="37"/>
      <c r="U50" s="37"/>
      <c r="V50" s="37"/>
      <c r="W50" s="37"/>
    </row>
    <row r="51" ht="15.75" customHeight="1">
      <c r="O51" s="37" t="s">
        <v>280</v>
      </c>
      <c r="P51" s="37">
        <v>0.35068601210872663</v>
      </c>
      <c r="Q51" s="37"/>
      <c r="R51" s="37"/>
      <c r="S51" s="37"/>
      <c r="T51" s="37"/>
      <c r="U51" s="37"/>
      <c r="V51" s="37"/>
      <c r="W51" s="37"/>
    </row>
    <row r="52" ht="15.75" customHeight="1">
      <c r="O52" s="37" t="s">
        <v>281</v>
      </c>
      <c r="P52" s="37">
        <v>-3.94794196367382</v>
      </c>
      <c r="Q52" s="37"/>
      <c r="R52" s="37"/>
      <c r="S52" s="37"/>
      <c r="T52" s="37"/>
      <c r="U52" s="37"/>
      <c r="V52" s="37"/>
      <c r="W52" s="37"/>
    </row>
    <row r="53" ht="15.75" customHeight="1">
      <c r="O53" s="37" t="s">
        <v>282</v>
      </c>
      <c r="P53" s="37">
        <v>11.169371552308125</v>
      </c>
      <c r="Q53" s="37"/>
      <c r="R53" s="37"/>
      <c r="S53" s="37"/>
      <c r="T53" s="37"/>
      <c r="U53" s="37"/>
      <c r="V53" s="37"/>
      <c r="W53" s="37"/>
    </row>
    <row r="54" ht="15.75" customHeight="1">
      <c r="O54" s="98" t="s">
        <v>283</v>
      </c>
      <c r="P54" s="98">
        <v>10.0</v>
      </c>
      <c r="Q54" s="37"/>
      <c r="R54" s="37"/>
      <c r="S54" s="37"/>
      <c r="T54" s="37"/>
      <c r="U54" s="37"/>
      <c r="V54" s="37"/>
      <c r="W54" s="37"/>
    </row>
    <row r="55" ht="15.75" customHeight="1">
      <c r="O55" s="37"/>
      <c r="P55" s="37"/>
      <c r="Q55" s="37"/>
      <c r="R55" s="37"/>
      <c r="S55" s="37"/>
      <c r="T55" s="37"/>
      <c r="U55" s="37"/>
      <c r="V55" s="37"/>
      <c r="W55" s="37"/>
    </row>
    <row r="56" ht="15.75" customHeight="1">
      <c r="O56" s="37" t="s">
        <v>284</v>
      </c>
      <c r="P56" s="37"/>
      <c r="Q56" s="37"/>
      <c r="R56" s="37"/>
      <c r="S56" s="37"/>
      <c r="T56" s="37"/>
      <c r="U56" s="37"/>
      <c r="V56" s="37"/>
      <c r="W56" s="37"/>
    </row>
    <row r="57" ht="15.75" customHeight="1">
      <c r="D57" s="95"/>
      <c r="E57" s="95"/>
      <c r="F57" s="95"/>
      <c r="G57" s="95"/>
      <c r="H57" s="95"/>
      <c r="I57" s="95"/>
      <c r="O57" s="96"/>
      <c r="P57" s="96" t="s">
        <v>285</v>
      </c>
      <c r="Q57" s="96" t="s">
        <v>286</v>
      </c>
      <c r="R57" s="96" t="s">
        <v>287</v>
      </c>
      <c r="S57" s="96" t="s">
        <v>288</v>
      </c>
      <c r="T57" s="96" t="s">
        <v>289</v>
      </c>
      <c r="U57" s="37"/>
      <c r="V57" s="37"/>
      <c r="W57" s="37"/>
    </row>
    <row r="58" ht="15.75" customHeight="1">
      <c r="O58" s="37" t="s">
        <v>290</v>
      </c>
      <c r="P58" s="37">
        <v>15.0</v>
      </c>
      <c r="Q58" s="37">
        <v>202.13541737947003</v>
      </c>
      <c r="R58" s="37">
        <v>13.475694491964669</v>
      </c>
      <c r="S58" s="37">
        <v>0.2700434756131024</v>
      </c>
      <c r="T58" s="37" t="e">
        <v>#NUM!</v>
      </c>
      <c r="U58" s="37"/>
      <c r="V58" s="37"/>
      <c r="W58" s="37"/>
    </row>
    <row r="59" ht="15.75" customHeight="1">
      <c r="O59" s="37" t="s">
        <v>291</v>
      </c>
      <c r="P59" s="37">
        <v>3.0</v>
      </c>
      <c r="Q59" s="37">
        <v>374.26458262052995</v>
      </c>
      <c r="R59" s="37">
        <v>124.75486087350998</v>
      </c>
      <c r="S59" s="37"/>
      <c r="T59" s="37"/>
      <c r="U59" s="37"/>
      <c r="V59" s="37"/>
      <c r="W59" s="37"/>
    </row>
    <row r="60" ht="15.75" customHeight="1">
      <c r="O60" s="98" t="s">
        <v>292</v>
      </c>
      <c r="P60" s="98">
        <v>18.0</v>
      </c>
      <c r="Q60" s="98">
        <v>576.4</v>
      </c>
      <c r="R60" s="98"/>
      <c r="S60" s="98"/>
      <c r="T60" s="98"/>
      <c r="U60" s="37"/>
      <c r="V60" s="37"/>
      <c r="W60" s="37"/>
    </row>
    <row r="61" ht="15.75" customHeight="1">
      <c r="O61" s="37"/>
      <c r="P61" s="37"/>
      <c r="Q61" s="37"/>
      <c r="R61" s="37"/>
      <c r="S61" s="37"/>
      <c r="T61" s="37"/>
      <c r="U61" s="37"/>
      <c r="V61" s="37"/>
      <c r="W61" s="37"/>
    </row>
    <row r="62" ht="15.75" customHeight="1">
      <c r="D62" s="95"/>
      <c r="E62" s="95"/>
      <c r="F62" s="95"/>
      <c r="G62" s="95"/>
      <c r="H62" s="95"/>
      <c r="I62" s="95"/>
      <c r="J62" s="95"/>
      <c r="K62" s="95"/>
      <c r="L62" s="95"/>
      <c r="O62" s="96"/>
      <c r="P62" s="96" t="s">
        <v>267</v>
      </c>
      <c r="Q62" s="96" t="s">
        <v>282</v>
      </c>
      <c r="R62" s="96" t="s">
        <v>293</v>
      </c>
      <c r="S62" s="96" t="s">
        <v>294</v>
      </c>
      <c r="T62" s="96" t="s">
        <v>295</v>
      </c>
      <c r="U62" s="96" t="s">
        <v>296</v>
      </c>
      <c r="V62" s="96" t="s">
        <v>297</v>
      </c>
      <c r="W62" s="96" t="s">
        <v>298</v>
      </c>
    </row>
    <row r="63" ht="15.75" customHeight="1">
      <c r="O63" s="37" t="s">
        <v>269</v>
      </c>
      <c r="P63" s="37">
        <v>48.964285714285715</v>
      </c>
      <c r="Q63" s="37">
        <v>7.0007741143610325</v>
      </c>
      <c r="R63" s="37">
        <v>6.9941244945816585</v>
      </c>
      <c r="S63" s="37">
        <v>0.006000654218965654</v>
      </c>
      <c r="T63" s="37">
        <v>26.684697999911617</v>
      </c>
      <c r="U63" s="37">
        <v>71.24387342865981</v>
      </c>
      <c r="V63" s="37">
        <v>26.684697999911617</v>
      </c>
      <c r="W63" s="37">
        <v>71.24387342865981</v>
      </c>
    </row>
    <row r="64" ht="15.75" customHeight="1">
      <c r="O64" s="37" t="s">
        <v>241</v>
      </c>
      <c r="P64" s="37">
        <v>0.0</v>
      </c>
      <c r="Q64" s="37">
        <v>0.0</v>
      </c>
      <c r="R64" s="37">
        <v>65535.0</v>
      </c>
      <c r="S64" s="37" t="e">
        <v>#NUM!</v>
      </c>
      <c r="T64" s="37">
        <v>0.0</v>
      </c>
      <c r="U64" s="37">
        <v>0.0</v>
      </c>
      <c r="V64" s="37">
        <v>0.0</v>
      </c>
      <c r="W64" s="37">
        <v>0.0</v>
      </c>
    </row>
    <row r="65" ht="15.75" customHeight="1">
      <c r="O65" s="37" t="s">
        <v>97</v>
      </c>
      <c r="P65" s="37">
        <v>-1.999999999999991</v>
      </c>
      <c r="Q65" s="37">
        <v>15.795876732458376</v>
      </c>
      <c r="R65" s="37">
        <v>-0.12661532081282093</v>
      </c>
      <c r="S65" s="37" t="e">
        <v>#NUM!</v>
      </c>
      <c r="T65" s="37">
        <v>-52.26952954592906</v>
      </c>
      <c r="U65" s="37">
        <v>48.269529545929075</v>
      </c>
      <c r="V65" s="37">
        <v>-52.26952954592906</v>
      </c>
      <c r="W65" s="37">
        <v>48.269529545929075</v>
      </c>
    </row>
    <row r="66" ht="15.75" customHeight="1">
      <c r="O66" s="37" t="s">
        <v>243</v>
      </c>
      <c r="P66" s="37">
        <v>0.0</v>
      </c>
      <c r="Q66" s="37">
        <v>0.0</v>
      </c>
      <c r="R66" s="37">
        <v>65535.0</v>
      </c>
      <c r="S66" s="37" t="e">
        <v>#NUM!</v>
      </c>
      <c r="T66" s="37">
        <v>0.0</v>
      </c>
      <c r="U66" s="37">
        <v>0.0</v>
      </c>
      <c r="V66" s="37">
        <v>0.0</v>
      </c>
      <c r="W66" s="37">
        <v>0.0</v>
      </c>
    </row>
    <row r="67" ht="15.75" customHeight="1">
      <c r="O67" s="37" t="s">
        <v>96</v>
      </c>
      <c r="P67" s="37">
        <v>1.5714285714285685</v>
      </c>
      <c r="Q67" s="37">
        <v>8.44325126522479</v>
      </c>
      <c r="R67" s="37">
        <v>0.1861165233706605</v>
      </c>
      <c r="S67" s="37" t="e">
        <v>#NUM!</v>
      </c>
      <c r="T67" s="37">
        <v>-25.298765222168065</v>
      </c>
      <c r="U67" s="37">
        <v>28.441622365025204</v>
      </c>
      <c r="V67" s="37">
        <v>-25.298765222168065</v>
      </c>
      <c r="W67" s="37">
        <v>28.441622365025204</v>
      </c>
    </row>
    <row r="68" ht="15.75" customHeight="1">
      <c r="O68" s="37" t="s">
        <v>97</v>
      </c>
      <c r="P68" s="37">
        <v>0.0</v>
      </c>
      <c r="Q68" s="37">
        <v>0.0</v>
      </c>
      <c r="R68" s="37">
        <v>65535.0</v>
      </c>
      <c r="S68" s="37" t="e">
        <v>#NUM!</v>
      </c>
      <c r="T68" s="37">
        <v>0.0</v>
      </c>
      <c r="U68" s="37">
        <v>0.0</v>
      </c>
      <c r="V68" s="37">
        <v>0.0</v>
      </c>
      <c r="W68" s="37">
        <v>0.0</v>
      </c>
    </row>
    <row r="69" ht="15.75" customHeight="1">
      <c r="O69" s="37" t="s">
        <v>98</v>
      </c>
      <c r="P69" s="37">
        <v>0.0</v>
      </c>
      <c r="Q69" s="37">
        <v>0.0</v>
      </c>
      <c r="R69" s="37">
        <v>65535.0</v>
      </c>
      <c r="S69" s="37" t="e">
        <v>#NUM!</v>
      </c>
      <c r="T69" s="37">
        <v>0.0</v>
      </c>
      <c r="U69" s="37">
        <v>0.0</v>
      </c>
      <c r="V69" s="37">
        <v>0.0</v>
      </c>
      <c r="W69" s="37">
        <v>0.0</v>
      </c>
    </row>
    <row r="70" ht="15.75" customHeight="1">
      <c r="O70" s="37" t="s">
        <v>120</v>
      </c>
      <c r="P70" s="37">
        <v>8.107142857142858</v>
      </c>
      <c r="Q70" s="37">
        <v>8.175142884515076</v>
      </c>
      <c r="R70" s="37">
        <v>0.9916820992204283</v>
      </c>
      <c r="S70" s="37" t="e">
        <v>#NUM!</v>
      </c>
      <c r="T70" s="37">
        <v>-17.90981041084855</v>
      </c>
      <c r="U70" s="37">
        <v>34.124096125134265</v>
      </c>
      <c r="V70" s="37">
        <v>-17.90981041084855</v>
      </c>
      <c r="W70" s="37">
        <v>34.124096125134265</v>
      </c>
    </row>
    <row r="71" ht="15.75" customHeight="1">
      <c r="O71" s="37" t="s">
        <v>121</v>
      </c>
      <c r="P71" s="37">
        <v>0.0</v>
      </c>
      <c r="Q71" s="37">
        <v>0.0</v>
      </c>
      <c r="R71" s="37">
        <v>65535.0</v>
      </c>
      <c r="S71" s="37" t="e">
        <v>#NUM!</v>
      </c>
      <c r="T71" s="37">
        <v>0.0</v>
      </c>
      <c r="U71" s="37">
        <v>0.0</v>
      </c>
      <c r="V71" s="37">
        <v>0.0</v>
      </c>
      <c r="W71" s="37">
        <v>0.0</v>
      </c>
    </row>
    <row r="72" ht="15.75" customHeight="1">
      <c r="O72" s="37" t="s">
        <v>122</v>
      </c>
      <c r="P72" s="37">
        <v>0.0</v>
      </c>
      <c r="Q72" s="37">
        <v>0.0</v>
      </c>
      <c r="R72" s="37">
        <v>65535.0</v>
      </c>
      <c r="S72" s="37" t="e">
        <v>#NUM!</v>
      </c>
      <c r="T72" s="37">
        <v>0.0</v>
      </c>
      <c r="U72" s="37">
        <v>0.0</v>
      </c>
      <c r="V72" s="37">
        <v>0.0</v>
      </c>
      <c r="W72" s="37">
        <v>0.0</v>
      </c>
    </row>
    <row r="73" ht="15.75" customHeight="1">
      <c r="O73" s="37" t="s">
        <v>141</v>
      </c>
      <c r="P73" s="37">
        <v>0.0</v>
      </c>
      <c r="Q73" s="37">
        <v>0.0</v>
      </c>
      <c r="R73" s="37">
        <v>65535.0</v>
      </c>
      <c r="S73" s="37" t="e">
        <v>#NUM!</v>
      </c>
      <c r="T73" s="37">
        <v>0.0</v>
      </c>
      <c r="U73" s="37">
        <v>0.0</v>
      </c>
      <c r="V73" s="37">
        <v>0.0</v>
      </c>
      <c r="W73" s="37">
        <v>0.0</v>
      </c>
    </row>
    <row r="74" ht="15.75" customHeight="1">
      <c r="O74" s="37" t="s">
        <v>142</v>
      </c>
      <c r="P74" s="37">
        <v>4.035714285714283</v>
      </c>
      <c r="Q74" s="37">
        <v>13.182021812825887</v>
      </c>
      <c r="R74" s="37">
        <v>0.3061529060578249</v>
      </c>
      <c r="S74" s="37" t="e">
        <v>#NUM!</v>
      </c>
      <c r="T74" s="37">
        <v>-37.91536232868272</v>
      </c>
      <c r="U74" s="37">
        <v>45.98679090011129</v>
      </c>
      <c r="V74" s="37">
        <v>-37.91536232868272</v>
      </c>
      <c r="W74" s="37">
        <v>45.98679090011129</v>
      </c>
    </row>
    <row r="75" ht="15.75" customHeight="1">
      <c r="O75" s="37" t="s">
        <v>143</v>
      </c>
      <c r="P75" s="37">
        <v>0.0</v>
      </c>
      <c r="Q75" s="37">
        <v>0.0</v>
      </c>
      <c r="R75" s="37">
        <v>65535.0</v>
      </c>
      <c r="S75" s="37" t="e">
        <v>#NUM!</v>
      </c>
      <c r="T75" s="37">
        <v>0.0</v>
      </c>
      <c r="U75" s="37">
        <v>0.0</v>
      </c>
      <c r="V75" s="37">
        <v>0.0</v>
      </c>
      <c r="W75" s="37">
        <v>0.0</v>
      </c>
    </row>
    <row r="76" ht="15.75" customHeight="1">
      <c r="O76" s="37" t="s">
        <v>162</v>
      </c>
      <c r="P76" s="37">
        <v>0.0</v>
      </c>
      <c r="Q76" s="37">
        <v>0.0</v>
      </c>
      <c r="R76" s="37">
        <v>65535.0</v>
      </c>
      <c r="S76" s="37" t="e">
        <v>#NUM!</v>
      </c>
      <c r="T76" s="37">
        <v>0.0</v>
      </c>
      <c r="U76" s="37">
        <v>0.0</v>
      </c>
      <c r="V76" s="37">
        <v>0.0</v>
      </c>
      <c r="W76" s="37">
        <v>0.0</v>
      </c>
    </row>
    <row r="77" ht="15.75" customHeight="1">
      <c r="O77" s="37" t="s">
        <v>163</v>
      </c>
      <c r="P77" s="37">
        <v>0.0</v>
      </c>
      <c r="Q77" s="37">
        <v>0.0</v>
      </c>
      <c r="R77" s="37">
        <v>65535.0</v>
      </c>
      <c r="S77" s="37" t="e">
        <v>#NUM!</v>
      </c>
      <c r="T77" s="37">
        <v>0.0</v>
      </c>
      <c r="U77" s="37">
        <v>0.0</v>
      </c>
      <c r="V77" s="37">
        <v>0.0</v>
      </c>
      <c r="W77" s="37">
        <v>0.0</v>
      </c>
    </row>
    <row r="78" ht="15.75" customHeight="1">
      <c r="O78" s="98" t="s">
        <v>164</v>
      </c>
      <c r="P78" s="98">
        <v>0.0</v>
      </c>
      <c r="Q78" s="98">
        <v>0.0</v>
      </c>
      <c r="R78" s="98">
        <v>65535.0</v>
      </c>
      <c r="S78" s="98" t="e">
        <v>#NUM!</v>
      </c>
      <c r="T78" s="98">
        <v>0.0</v>
      </c>
      <c r="U78" s="98">
        <v>0.0</v>
      </c>
      <c r="V78" s="98">
        <v>0.0</v>
      </c>
      <c r="W78" s="98">
        <v>0.0</v>
      </c>
    </row>
    <row r="79" ht="15.75" customHeight="1">
      <c r="O79" s="37"/>
      <c r="P79" s="37"/>
      <c r="Q79" s="37"/>
      <c r="R79" s="37"/>
      <c r="S79" s="37"/>
      <c r="T79" s="37"/>
      <c r="U79" s="37"/>
      <c r="V79" s="37"/>
      <c r="W79" s="37"/>
    </row>
    <row r="80" ht="15.75" customHeight="1">
      <c r="O80" s="37"/>
      <c r="P80" s="37"/>
      <c r="Q80" s="37"/>
      <c r="R80" s="37"/>
      <c r="S80" s="37"/>
      <c r="T80" s="37"/>
      <c r="U80" s="37"/>
      <c r="V80" s="37"/>
      <c r="W80" s="37"/>
    </row>
    <row r="81" ht="15.75" customHeight="1">
      <c r="O81" s="37"/>
      <c r="P81" s="37"/>
      <c r="Q81" s="37"/>
      <c r="R81" s="37"/>
      <c r="S81" s="37"/>
      <c r="T81" s="37"/>
      <c r="U81" s="37"/>
      <c r="V81" s="37"/>
      <c r="W81" s="37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O49:P4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8.75"/>
    <col customWidth="1" min="10" max="26" width="14.38"/>
  </cols>
  <sheetData>
    <row r="1">
      <c r="A1" s="3" t="s">
        <v>277</v>
      </c>
    </row>
    <row r="3">
      <c r="A3" s="96" t="s">
        <v>278</v>
      </c>
      <c r="B3" s="97"/>
    </row>
    <row r="4">
      <c r="A4" s="37" t="s">
        <v>279</v>
      </c>
      <c r="B4" s="37">
        <v>0.9458795331653411</v>
      </c>
    </row>
    <row r="5">
      <c r="A5" s="37" t="s">
        <v>280</v>
      </c>
      <c r="B5" s="37">
        <v>0.8946880912610837</v>
      </c>
    </row>
    <row r="6">
      <c r="A6" s="37" t="s">
        <v>281</v>
      </c>
      <c r="B6" s="37">
        <v>-0.9826023928834152</v>
      </c>
    </row>
    <row r="7">
      <c r="A7" s="37" t="s">
        <v>282</v>
      </c>
      <c r="B7" s="37">
        <v>4.49821387505127</v>
      </c>
    </row>
    <row r="8">
      <c r="A8" s="98" t="s">
        <v>283</v>
      </c>
      <c r="B8" s="98">
        <v>10.0</v>
      </c>
    </row>
    <row r="10">
      <c r="A10" s="3" t="s">
        <v>284</v>
      </c>
    </row>
    <row r="11">
      <c r="A11" s="96"/>
      <c r="B11" s="96" t="s">
        <v>285</v>
      </c>
      <c r="C11" s="96" t="s">
        <v>286</v>
      </c>
      <c r="D11" s="96" t="s">
        <v>287</v>
      </c>
      <c r="E11" s="96" t="s">
        <v>288</v>
      </c>
      <c r="F11" s="96" t="s">
        <v>289</v>
      </c>
    </row>
    <row r="12">
      <c r="A12" s="37" t="s">
        <v>290</v>
      </c>
      <c r="B12" s="37">
        <v>11.0</v>
      </c>
      <c r="C12" s="37">
        <v>515.6982158028886</v>
      </c>
      <c r="D12" s="37">
        <v>46.88165598208079</v>
      </c>
      <c r="E12" s="37">
        <v>4.247801136522688</v>
      </c>
      <c r="F12" s="37" t="e">
        <v>#NUM!</v>
      </c>
    </row>
    <row r="13">
      <c r="A13" s="37" t="s">
        <v>291</v>
      </c>
      <c r="B13" s="37">
        <v>3.0</v>
      </c>
      <c r="C13" s="37">
        <v>60.701784197111294</v>
      </c>
      <c r="D13" s="37">
        <v>20.233928065703765</v>
      </c>
      <c r="E13" s="37"/>
      <c r="F13" s="37"/>
    </row>
    <row r="14">
      <c r="A14" s="98" t="s">
        <v>292</v>
      </c>
      <c r="B14" s="98">
        <v>14.0</v>
      </c>
      <c r="C14" s="98">
        <v>576.3999999999999</v>
      </c>
      <c r="D14" s="98"/>
      <c r="E14" s="98"/>
      <c r="F14" s="98"/>
    </row>
    <row r="16">
      <c r="A16" s="96"/>
      <c r="B16" s="96" t="s">
        <v>267</v>
      </c>
      <c r="C16" s="96" t="s">
        <v>282</v>
      </c>
      <c r="D16" s="96" t="s">
        <v>293</v>
      </c>
      <c r="E16" s="96" t="s">
        <v>294</v>
      </c>
      <c r="F16" s="96" t="s">
        <v>295</v>
      </c>
      <c r="G16" s="96" t="s">
        <v>296</v>
      </c>
      <c r="H16" s="96" t="s">
        <v>297</v>
      </c>
      <c r="I16" s="96" t="s">
        <v>298</v>
      </c>
    </row>
    <row r="17">
      <c r="A17" s="37" t="s">
        <v>269</v>
      </c>
      <c r="B17" s="37">
        <v>53.21920135938829</v>
      </c>
      <c r="C17" s="37">
        <v>4.952948998384105</v>
      </c>
      <c r="D17" s="37">
        <v>10.744952426675704</v>
      </c>
      <c r="E17" s="37">
        <v>0.0017237669723360678</v>
      </c>
      <c r="F17" s="37">
        <v>37.45670711922215</v>
      </c>
      <c r="G17" s="37">
        <v>68.98169559955444</v>
      </c>
      <c r="H17" s="37">
        <v>37.45670711922215</v>
      </c>
      <c r="I17" s="37">
        <v>68.98169559955444</v>
      </c>
    </row>
    <row r="18">
      <c r="A18" s="37" t="s">
        <v>299</v>
      </c>
      <c r="B18" s="37">
        <v>-0.865760407816483</v>
      </c>
      <c r="C18" s="37">
        <v>0.6219323229581589</v>
      </c>
      <c r="D18" s="37">
        <v>-1.392049224421365</v>
      </c>
      <c r="E18" s="37">
        <v>0.25815510027870936</v>
      </c>
      <c r="F18" s="37">
        <v>-2.8450266311511903</v>
      </c>
      <c r="G18" s="37">
        <v>1.1135058155182245</v>
      </c>
      <c r="H18" s="37">
        <v>-2.8450266311511903</v>
      </c>
      <c r="I18" s="37">
        <v>1.1135058155182245</v>
      </c>
    </row>
    <row r="19">
      <c r="A19" s="37" t="s">
        <v>300</v>
      </c>
      <c r="B19" s="37">
        <v>0.0</v>
      </c>
      <c r="C19" s="37">
        <v>0.0</v>
      </c>
      <c r="D19" s="37">
        <v>65535.0</v>
      </c>
      <c r="E19" s="37" t="e">
        <v>#NUM!</v>
      </c>
      <c r="F19" s="37">
        <v>0.0</v>
      </c>
      <c r="G19" s="37">
        <v>0.0</v>
      </c>
      <c r="H19" s="37">
        <v>0.0</v>
      </c>
      <c r="I19" s="37">
        <v>0.0</v>
      </c>
    </row>
    <row r="20">
      <c r="A20" s="37" t="s">
        <v>301</v>
      </c>
      <c r="B20" s="37">
        <v>14.834324553950731</v>
      </c>
      <c r="C20" s="37">
        <v>5.965365279619693</v>
      </c>
      <c r="D20" s="37">
        <v>2.486742028125469</v>
      </c>
      <c r="E20" s="37" t="e">
        <v>#NUM!</v>
      </c>
      <c r="F20" s="37">
        <v>-4.150130139842682</v>
      </c>
      <c r="G20" s="37">
        <v>33.818779247744146</v>
      </c>
      <c r="H20" s="37">
        <v>-4.150130139842682</v>
      </c>
      <c r="I20" s="37">
        <v>33.818779247744146</v>
      </c>
    </row>
    <row r="21" ht="15.75" customHeight="1">
      <c r="A21" s="37" t="s">
        <v>302</v>
      </c>
      <c r="B21" s="37">
        <v>0.0</v>
      </c>
      <c r="C21" s="37">
        <v>0.0</v>
      </c>
      <c r="D21" s="37">
        <v>65535.0</v>
      </c>
      <c r="E21" s="37" t="e">
        <v>#NUM!</v>
      </c>
      <c r="F21" s="37">
        <v>0.0</v>
      </c>
      <c r="G21" s="37">
        <v>0.0</v>
      </c>
      <c r="H21" s="37">
        <v>0.0</v>
      </c>
      <c r="I21" s="37">
        <v>0.0</v>
      </c>
    </row>
    <row r="22" ht="15.75" customHeight="1">
      <c r="A22" s="37" t="s">
        <v>303</v>
      </c>
      <c r="B22" s="37">
        <v>6.692438402718774</v>
      </c>
      <c r="C22" s="37">
        <v>4.236450328445041</v>
      </c>
      <c r="D22" s="37">
        <v>1.5797278107531088</v>
      </c>
      <c r="E22" s="37" t="e">
        <v>#NUM!</v>
      </c>
      <c r="F22" s="37">
        <v>-6.7898372925591035</v>
      </c>
      <c r="G22" s="37">
        <v>20.174714097996652</v>
      </c>
      <c r="H22" s="37">
        <v>-6.7898372925591035</v>
      </c>
      <c r="I22" s="37">
        <v>20.174714097996652</v>
      </c>
    </row>
    <row r="23" ht="15.75" customHeight="1">
      <c r="A23" s="37" t="s">
        <v>304</v>
      </c>
      <c r="B23" s="37">
        <v>0.0</v>
      </c>
      <c r="C23" s="37">
        <v>0.0</v>
      </c>
      <c r="D23" s="37">
        <v>65535.0</v>
      </c>
      <c r="E23" s="37" t="e">
        <v>#NUM!</v>
      </c>
      <c r="F23" s="37">
        <v>0.0</v>
      </c>
      <c r="G23" s="37">
        <v>0.0</v>
      </c>
      <c r="H23" s="37">
        <v>0.0</v>
      </c>
      <c r="I23" s="37">
        <v>0.0</v>
      </c>
    </row>
    <row r="24" ht="15.75" customHeight="1">
      <c r="A24" s="37" t="s">
        <v>305</v>
      </c>
      <c r="B24" s="37">
        <v>-20.582837723024646</v>
      </c>
      <c r="C24" s="37">
        <v>5.397251503823663</v>
      </c>
      <c r="D24" s="37">
        <v>-3.813577653078203</v>
      </c>
      <c r="E24" s="37" t="e">
        <v>#NUM!</v>
      </c>
      <c r="F24" s="37">
        <v>-37.7593008300552</v>
      </c>
      <c r="G24" s="37">
        <v>-3.406374615994089</v>
      </c>
      <c r="H24" s="37">
        <v>-37.7593008300552</v>
      </c>
      <c r="I24" s="37">
        <v>-3.406374615994089</v>
      </c>
    </row>
    <row r="25" ht="15.75" customHeight="1">
      <c r="A25" s="37" t="s">
        <v>306</v>
      </c>
      <c r="B25" s="37">
        <v>10.860662701784193</v>
      </c>
      <c r="C25" s="37">
        <v>5.00388262401819</v>
      </c>
      <c r="D25" s="37">
        <v>2.1704471343220524</v>
      </c>
      <c r="E25" s="37">
        <v>0.11840632468998376</v>
      </c>
      <c r="F25" s="37">
        <v>-5.063925067095846</v>
      </c>
      <c r="G25" s="37">
        <v>26.78525047066423</v>
      </c>
      <c r="H25" s="37">
        <v>-5.063925067095846</v>
      </c>
      <c r="I25" s="37">
        <v>26.78525047066423</v>
      </c>
    </row>
    <row r="26" ht="15.75" customHeight="1">
      <c r="A26" s="37" t="s">
        <v>307</v>
      </c>
      <c r="B26" s="37">
        <v>0.0</v>
      </c>
      <c r="C26" s="37">
        <v>0.0</v>
      </c>
      <c r="D26" s="37">
        <v>65535.0</v>
      </c>
      <c r="E26" s="37" t="e">
        <v>#NUM!</v>
      </c>
      <c r="F26" s="37">
        <v>0.0</v>
      </c>
      <c r="G26" s="37">
        <v>0.0</v>
      </c>
      <c r="H26" s="37">
        <v>0.0</v>
      </c>
      <c r="I26" s="37">
        <v>0.0</v>
      </c>
    </row>
    <row r="27" ht="15.75" customHeight="1">
      <c r="A27" s="37" t="s">
        <v>308</v>
      </c>
      <c r="B27" s="37">
        <v>-7.126593033135088</v>
      </c>
      <c r="C27" s="37">
        <v>4.320826044344261</v>
      </c>
      <c r="D27" s="37">
        <v>-1.649358932758571</v>
      </c>
      <c r="E27" s="37" t="e">
        <v>#NUM!</v>
      </c>
      <c r="F27" s="37">
        <v>-20.877389913732106</v>
      </c>
      <c r="G27" s="37">
        <v>6.624203847461929</v>
      </c>
      <c r="H27" s="37">
        <v>-20.877389913732106</v>
      </c>
      <c r="I27" s="37">
        <v>6.624203847461929</v>
      </c>
    </row>
    <row r="28" ht="15.75" customHeight="1">
      <c r="A28" s="98" t="s">
        <v>309</v>
      </c>
      <c r="B28" s="98">
        <v>0.0</v>
      </c>
      <c r="C28" s="98">
        <v>0.0</v>
      </c>
      <c r="D28" s="98">
        <v>65535.0</v>
      </c>
      <c r="E28" s="98" t="e">
        <v>#NUM!</v>
      </c>
      <c r="F28" s="98">
        <v>0.0</v>
      </c>
      <c r="G28" s="98">
        <v>0.0</v>
      </c>
      <c r="H28" s="98">
        <v>0.0</v>
      </c>
      <c r="I28" s="98">
        <v>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8.75"/>
    <col customWidth="1" min="2" max="2" width="8.75"/>
    <col customWidth="1" min="3" max="3" width="19.63"/>
    <col customWidth="1" min="4" max="4" width="16.75"/>
    <col customWidth="1" min="5" max="5" width="17.13"/>
    <col customWidth="1" min="6" max="6" width="15.38"/>
    <col customWidth="1" min="7" max="7" width="9.38"/>
    <col customWidth="1" min="8" max="8" width="14.5"/>
    <col customWidth="1" min="9" max="9" width="15.88"/>
    <col customWidth="1" min="10" max="10" width="17.13"/>
    <col customWidth="1" min="11" max="11" width="17.63"/>
    <col customWidth="1" min="12" max="12" width="13.13"/>
    <col customWidth="1" min="13" max="13" width="14.38"/>
    <col customWidth="1" min="14" max="15" width="14.88"/>
    <col customWidth="1" min="16" max="16" width="8.75"/>
    <col customWidth="1" min="17" max="17" width="35.63"/>
    <col customWidth="1" min="18" max="18" width="14.88"/>
    <col customWidth="1" min="19" max="19" width="77.13"/>
    <col customWidth="1" min="20" max="47" width="8.75"/>
    <col customWidth="1" min="48" max="48" width="13.0"/>
  </cols>
  <sheetData>
    <row r="1">
      <c r="A1" s="6" t="s">
        <v>245</v>
      </c>
      <c r="D1" s="99" t="s">
        <v>299</v>
      </c>
      <c r="E1" s="100" t="s">
        <v>301</v>
      </c>
      <c r="F1" s="100" t="s">
        <v>310</v>
      </c>
      <c r="G1" s="100" t="s">
        <v>311</v>
      </c>
      <c r="H1" s="100" t="s">
        <v>312</v>
      </c>
      <c r="I1" s="100" t="s">
        <v>313</v>
      </c>
      <c r="J1" s="100" t="s">
        <v>308</v>
      </c>
      <c r="K1" s="100" t="s">
        <v>309</v>
      </c>
      <c r="L1" s="100" t="s">
        <v>314</v>
      </c>
      <c r="M1" s="100" t="s">
        <v>315</v>
      </c>
      <c r="N1" s="100" t="s">
        <v>316</v>
      </c>
      <c r="O1" s="100" t="s">
        <v>304</v>
      </c>
      <c r="P1" s="101" t="s">
        <v>305</v>
      </c>
      <c r="Q1" s="102" t="s">
        <v>317</v>
      </c>
      <c r="R1" s="103" t="s">
        <v>318</v>
      </c>
    </row>
    <row r="2">
      <c r="D2" s="104">
        <v>1.0</v>
      </c>
      <c r="E2" s="105">
        <v>1.0</v>
      </c>
      <c r="F2" s="105">
        <v>0.0</v>
      </c>
      <c r="G2" s="105">
        <v>0.0</v>
      </c>
      <c r="H2" s="105">
        <v>0.0</v>
      </c>
      <c r="I2" s="105">
        <v>1.0</v>
      </c>
      <c r="J2" s="105">
        <v>1.0</v>
      </c>
      <c r="K2" s="105">
        <v>0.0</v>
      </c>
      <c r="L2" s="105">
        <v>0.0</v>
      </c>
      <c r="M2" s="105">
        <v>1.0</v>
      </c>
      <c r="N2" s="105">
        <v>0.0</v>
      </c>
      <c r="O2" s="105">
        <v>0.0</v>
      </c>
      <c r="P2" s="106">
        <v>1.0</v>
      </c>
      <c r="Q2" s="106">
        <v>0.0</v>
      </c>
      <c r="R2" s="107">
        <v>60.0</v>
      </c>
    </row>
    <row r="3">
      <c r="A3" s="3" t="s">
        <v>319</v>
      </c>
      <c r="D3" s="108">
        <v>2.0</v>
      </c>
      <c r="E3" s="109">
        <v>0.0</v>
      </c>
      <c r="F3" s="109">
        <v>1.0</v>
      </c>
      <c r="G3" s="109">
        <v>0.0</v>
      </c>
      <c r="H3" s="109">
        <v>1.0</v>
      </c>
      <c r="I3" s="109">
        <v>0.0</v>
      </c>
      <c r="J3" s="109">
        <v>0.0</v>
      </c>
      <c r="K3" s="109">
        <v>0.0</v>
      </c>
      <c r="L3" s="109">
        <v>1.0</v>
      </c>
      <c r="M3" s="109">
        <v>0.0</v>
      </c>
      <c r="N3" s="109">
        <v>1.0</v>
      </c>
      <c r="O3" s="109">
        <v>0.0</v>
      </c>
      <c r="P3" s="110">
        <v>1.0</v>
      </c>
      <c r="Q3" s="110">
        <v>0.0</v>
      </c>
      <c r="R3" s="111">
        <v>58.0</v>
      </c>
    </row>
    <row r="4">
      <c r="D4" s="108">
        <v>3.0</v>
      </c>
      <c r="E4" s="109">
        <v>0.0</v>
      </c>
      <c r="F4" s="109">
        <v>1.0</v>
      </c>
      <c r="G4" s="109">
        <v>0.0</v>
      </c>
      <c r="H4" s="109">
        <v>1.0</v>
      </c>
      <c r="I4" s="109">
        <v>0.0</v>
      </c>
      <c r="J4" s="109">
        <v>0.0</v>
      </c>
      <c r="K4" s="109">
        <v>0.0</v>
      </c>
      <c r="L4" s="109">
        <v>1.0</v>
      </c>
      <c r="M4" s="109">
        <v>1.0</v>
      </c>
      <c r="N4" s="109">
        <v>0.0</v>
      </c>
      <c r="O4" s="109">
        <v>0.0</v>
      </c>
      <c r="P4" s="110">
        <v>1.0</v>
      </c>
      <c r="Q4" s="110">
        <v>0.0</v>
      </c>
      <c r="R4" s="111">
        <v>54.0</v>
      </c>
    </row>
    <row r="5">
      <c r="A5" s="81" t="s">
        <v>250</v>
      </c>
      <c r="D5" s="108">
        <v>4.0</v>
      </c>
      <c r="E5" s="109">
        <v>1.0</v>
      </c>
      <c r="F5" s="109">
        <v>0.0</v>
      </c>
      <c r="G5" s="109">
        <v>0.0</v>
      </c>
      <c r="H5" s="109">
        <v>1.0</v>
      </c>
      <c r="I5" s="109">
        <v>0.0</v>
      </c>
      <c r="J5" s="109">
        <v>0.0</v>
      </c>
      <c r="K5" s="109">
        <v>1.0</v>
      </c>
      <c r="L5" s="109">
        <v>0.0</v>
      </c>
      <c r="M5" s="109">
        <v>0.0</v>
      </c>
      <c r="N5" s="109">
        <v>1.0</v>
      </c>
      <c r="O5" s="109">
        <v>0.0</v>
      </c>
      <c r="P5" s="110">
        <v>1.0</v>
      </c>
      <c r="Q5" s="110">
        <v>0.0</v>
      </c>
      <c r="R5" s="111">
        <v>49.0</v>
      </c>
    </row>
    <row r="6">
      <c r="A6" s="82"/>
      <c r="D6" s="108">
        <v>5.0</v>
      </c>
      <c r="E6" s="109">
        <v>1.0</v>
      </c>
      <c r="F6" s="109">
        <v>0.0</v>
      </c>
      <c r="G6" s="109">
        <v>0.0</v>
      </c>
      <c r="H6" s="109">
        <v>1.0</v>
      </c>
      <c r="I6" s="109">
        <v>0.0</v>
      </c>
      <c r="J6" s="109">
        <v>0.0</v>
      </c>
      <c r="K6" s="109">
        <v>1.0</v>
      </c>
      <c r="L6" s="109">
        <v>0.0</v>
      </c>
      <c r="M6" s="109">
        <v>1.0</v>
      </c>
      <c r="N6" s="109">
        <v>0.0</v>
      </c>
      <c r="O6" s="109">
        <v>0.0</v>
      </c>
      <c r="P6" s="110">
        <v>1.0</v>
      </c>
      <c r="Q6" s="110">
        <v>0.0</v>
      </c>
      <c r="R6" s="111">
        <v>53.0</v>
      </c>
    </row>
    <row r="7">
      <c r="A7" s="82" t="s">
        <v>320</v>
      </c>
      <c r="D7" s="108">
        <v>6.0</v>
      </c>
      <c r="E7" s="109">
        <v>1.0</v>
      </c>
      <c r="F7" s="109">
        <v>0.0</v>
      </c>
      <c r="G7" s="109">
        <v>0.0</v>
      </c>
      <c r="H7" s="109">
        <v>1.0</v>
      </c>
      <c r="I7" s="109">
        <v>0.0</v>
      </c>
      <c r="J7" s="109">
        <v>0.0</v>
      </c>
      <c r="K7" s="109">
        <v>1.0</v>
      </c>
      <c r="L7" s="109">
        <v>0.0</v>
      </c>
      <c r="M7" s="109">
        <v>1.0</v>
      </c>
      <c r="N7" s="109">
        <v>0.0</v>
      </c>
      <c r="O7" s="109">
        <v>0.0</v>
      </c>
      <c r="P7" s="110">
        <v>1.0</v>
      </c>
      <c r="Q7" s="110">
        <v>0.0</v>
      </c>
      <c r="R7" s="111">
        <v>55.0</v>
      </c>
    </row>
    <row r="8">
      <c r="A8" s="82"/>
      <c r="D8" s="108">
        <v>7.0</v>
      </c>
      <c r="E8" s="109">
        <v>0.0</v>
      </c>
      <c r="F8" s="109">
        <v>1.0</v>
      </c>
      <c r="G8" s="109">
        <v>0.0</v>
      </c>
      <c r="H8" s="109">
        <v>1.0</v>
      </c>
      <c r="I8" s="109">
        <v>0.0</v>
      </c>
      <c r="J8" s="109">
        <v>0.0</v>
      </c>
      <c r="K8" s="109">
        <v>1.0</v>
      </c>
      <c r="L8" s="109">
        <v>0.0</v>
      </c>
      <c r="M8" s="109">
        <v>1.0</v>
      </c>
      <c r="N8" s="109">
        <v>0.0</v>
      </c>
      <c r="O8" s="109">
        <v>0.0</v>
      </c>
      <c r="P8" s="110">
        <v>1.0</v>
      </c>
      <c r="Q8" s="110">
        <v>0.0</v>
      </c>
      <c r="R8" s="111">
        <v>54.0</v>
      </c>
    </row>
    <row r="9">
      <c r="A9" s="82" t="s">
        <v>321</v>
      </c>
      <c r="D9" s="108">
        <v>8.0</v>
      </c>
      <c r="E9" s="109">
        <v>0.0</v>
      </c>
      <c r="F9" s="109">
        <v>1.0</v>
      </c>
      <c r="G9" s="109">
        <v>1.0</v>
      </c>
      <c r="H9" s="109">
        <v>0.0</v>
      </c>
      <c r="I9" s="109">
        <v>0.0</v>
      </c>
      <c r="J9" s="109">
        <v>0.0</v>
      </c>
      <c r="K9" s="109">
        <v>1.0</v>
      </c>
      <c r="L9" s="109">
        <v>0.0</v>
      </c>
      <c r="M9" s="109">
        <v>1.0</v>
      </c>
      <c r="N9" s="109">
        <v>0.0</v>
      </c>
      <c r="O9" s="109">
        <v>1.0</v>
      </c>
      <c r="P9" s="110">
        <v>0.0</v>
      </c>
      <c r="Q9" s="110">
        <v>0.0</v>
      </c>
      <c r="R9" s="111">
        <v>51.0</v>
      </c>
    </row>
    <row r="10">
      <c r="D10" s="108">
        <v>9.0</v>
      </c>
      <c r="E10" s="109">
        <v>1.0</v>
      </c>
      <c r="F10" s="109">
        <v>0.0</v>
      </c>
      <c r="G10" s="109">
        <v>0.0</v>
      </c>
      <c r="H10" s="109">
        <v>1.0</v>
      </c>
      <c r="I10" s="109">
        <v>0.0</v>
      </c>
      <c r="J10" s="109">
        <v>0.0</v>
      </c>
      <c r="K10" s="109">
        <v>1.0</v>
      </c>
      <c r="L10" s="109">
        <v>0.0</v>
      </c>
      <c r="M10" s="109">
        <v>1.0</v>
      </c>
      <c r="N10" s="109">
        <v>0.0</v>
      </c>
      <c r="O10" s="109">
        <v>1.0</v>
      </c>
      <c r="P10" s="110">
        <v>0.0</v>
      </c>
      <c r="Q10" s="110">
        <v>0.0</v>
      </c>
      <c r="R10" s="111">
        <v>53.0</v>
      </c>
    </row>
    <row r="11">
      <c r="A11" s="81" t="s">
        <v>259</v>
      </c>
      <c r="C11" s="112"/>
      <c r="D11" s="113">
        <v>10.0</v>
      </c>
      <c r="E11" s="114">
        <v>1.0</v>
      </c>
      <c r="F11" s="114">
        <v>0.0</v>
      </c>
      <c r="G11" s="114">
        <v>0.0</v>
      </c>
      <c r="H11" s="114">
        <v>1.0</v>
      </c>
      <c r="I11" s="114">
        <v>0.0</v>
      </c>
      <c r="J11" s="114">
        <v>1.0</v>
      </c>
      <c r="K11" s="114">
        <v>0.0</v>
      </c>
      <c r="L11" s="114">
        <v>0.0</v>
      </c>
      <c r="M11" s="114">
        <v>0.0</v>
      </c>
      <c r="N11" s="114">
        <v>1.0</v>
      </c>
      <c r="O11" s="114">
        <v>0.0</v>
      </c>
      <c r="P11" s="115">
        <v>1.0</v>
      </c>
      <c r="Q11" s="115">
        <v>0.0</v>
      </c>
      <c r="R11" s="116">
        <v>55.0</v>
      </c>
    </row>
    <row r="12">
      <c r="A12" s="82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</row>
    <row r="13">
      <c r="A13" s="82" t="s">
        <v>322</v>
      </c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</row>
    <row r="14">
      <c r="A14" s="82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</row>
    <row r="15">
      <c r="A15" s="86" t="s">
        <v>323</v>
      </c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</row>
    <row r="16">
      <c r="A16" s="82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</row>
    <row r="17">
      <c r="A17" s="86" t="s">
        <v>324</v>
      </c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</row>
    <row r="18">
      <c r="A18" s="82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</row>
    <row r="19">
      <c r="A19" s="82" t="s">
        <v>325</v>
      </c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</row>
    <row r="20"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</row>
    <row r="21" ht="15.75" customHeight="1">
      <c r="A21" s="6" t="s">
        <v>265</v>
      </c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</row>
    <row r="22" ht="15.75" customHeight="1"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</row>
    <row r="23" ht="15.75" customHeight="1">
      <c r="A23" s="3" t="s">
        <v>266</v>
      </c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</row>
    <row r="24" ht="15.75" customHeight="1"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</row>
    <row r="25" ht="15.75" customHeight="1">
      <c r="A25" s="87" t="s">
        <v>267</v>
      </c>
      <c r="B25" s="88" t="s">
        <v>268</v>
      </c>
      <c r="C25" s="8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</row>
    <row r="26" ht="15.75" customHeight="1">
      <c r="A26" s="90" t="s">
        <v>269</v>
      </c>
      <c r="B26" s="91" t="s">
        <v>270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</row>
    <row r="27" ht="15.75" customHeight="1">
      <c r="A27" s="92" t="s">
        <v>271</v>
      </c>
      <c r="B27" s="71" t="s">
        <v>272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</row>
    <row r="28" ht="15.75" customHeight="1">
      <c r="A28" s="92" t="s">
        <v>273</v>
      </c>
      <c r="B28" s="71" t="s">
        <v>274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</row>
    <row r="29" ht="15.75" customHeight="1">
      <c r="A29" s="92" t="s">
        <v>275</v>
      </c>
      <c r="B29" s="71" t="s">
        <v>276</v>
      </c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</row>
    <row r="30" ht="15.75" customHeight="1">
      <c r="A30" s="93" t="s">
        <v>270</v>
      </c>
      <c r="B30" s="85" t="s">
        <v>270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</row>
    <row r="31" ht="15.75" customHeight="1"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</row>
    <row r="32" ht="15.75" customHeight="1"/>
    <row r="33" ht="15.75" customHeight="1"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</row>
    <row r="34" ht="15.75" customHeight="1">
      <c r="C34" s="117" t="s">
        <v>277</v>
      </c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94" t="s">
        <v>326</v>
      </c>
      <c r="P34" s="5" t="s">
        <v>327</v>
      </c>
      <c r="Q34" s="118" t="s">
        <v>328</v>
      </c>
      <c r="R34" s="118" t="s">
        <v>268</v>
      </c>
      <c r="S34" s="118" t="s">
        <v>329</v>
      </c>
    </row>
    <row r="35" ht="15.75" customHeight="1">
      <c r="C35" s="119"/>
      <c r="D35" s="119"/>
      <c r="E35" s="119"/>
      <c r="F35" s="117"/>
      <c r="G35" s="117"/>
      <c r="H35" s="117"/>
      <c r="I35" s="117"/>
      <c r="J35" s="117"/>
      <c r="K35" s="117"/>
      <c r="L35" s="117"/>
      <c r="M35" s="117"/>
      <c r="N35" s="117"/>
      <c r="Q35" s="120" t="s">
        <v>279</v>
      </c>
      <c r="R35" s="121">
        <v>0.945</v>
      </c>
      <c r="S35" s="121" t="s">
        <v>330</v>
      </c>
      <c r="U35" s="122" t="s">
        <v>331</v>
      </c>
    </row>
    <row r="36" ht="15.75" customHeight="1">
      <c r="C36" s="123" t="s">
        <v>278</v>
      </c>
      <c r="D36" s="9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Q36" s="120" t="s">
        <v>332</v>
      </c>
      <c r="R36" s="121">
        <v>0.894</v>
      </c>
      <c r="S36" s="121" t="s">
        <v>333</v>
      </c>
      <c r="U36" s="124" t="s">
        <v>334</v>
      </c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6" t="s">
        <v>335</v>
      </c>
      <c r="AP36" s="125"/>
      <c r="AQ36" s="125"/>
      <c r="AR36" s="125"/>
      <c r="AS36" s="125"/>
      <c r="AT36" s="125"/>
      <c r="AU36" s="125"/>
      <c r="AV36" s="127"/>
    </row>
    <row r="37" ht="15.75" customHeight="1">
      <c r="C37" s="117" t="s">
        <v>279</v>
      </c>
      <c r="D37" s="128">
        <v>0.8481672919312798</v>
      </c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Q37" s="120" t="s">
        <v>281</v>
      </c>
      <c r="R37" s="121">
        <v>-0.982</v>
      </c>
      <c r="S37" s="121" t="s">
        <v>336</v>
      </c>
      <c r="U37" s="129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1"/>
      <c r="AP37" s="130"/>
      <c r="AQ37" s="130"/>
      <c r="AR37" s="130"/>
      <c r="AS37" s="130"/>
      <c r="AT37" s="130"/>
      <c r="AU37" s="130"/>
      <c r="AV37" s="132"/>
    </row>
    <row r="38" ht="15.75" customHeight="1">
      <c r="C38" s="117" t="s">
        <v>280</v>
      </c>
      <c r="D38" s="128">
        <v>0.7193877551020409</v>
      </c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Q38" s="120" t="s">
        <v>282</v>
      </c>
      <c r="R38" s="121">
        <v>4.4</v>
      </c>
      <c r="S38" s="120" t="s">
        <v>337</v>
      </c>
      <c r="U38" s="133" t="s">
        <v>338</v>
      </c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4" t="s">
        <v>339</v>
      </c>
      <c r="AP38" s="135"/>
      <c r="AQ38" s="135"/>
      <c r="AR38" s="135"/>
      <c r="AS38" s="135"/>
      <c r="AT38" s="135"/>
      <c r="AU38" s="136"/>
      <c r="AV38" s="132"/>
    </row>
    <row r="39" ht="15.75" customHeight="1">
      <c r="C39" s="117" t="s">
        <v>281</v>
      </c>
      <c r="D39" s="128">
        <v>-3.262755102040816</v>
      </c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Q39" s="120" t="s">
        <v>283</v>
      </c>
      <c r="R39" s="121">
        <v>10.0</v>
      </c>
      <c r="S39" s="121" t="s">
        <v>340</v>
      </c>
      <c r="U39" s="129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  <c r="AM39" s="130"/>
      <c r="AN39" s="130"/>
      <c r="AO39" s="137"/>
      <c r="AP39" s="138"/>
      <c r="AQ39" s="138"/>
      <c r="AR39" s="138"/>
      <c r="AS39" s="138"/>
      <c r="AT39" s="138"/>
      <c r="AU39" s="139"/>
      <c r="AV39" s="132"/>
    </row>
    <row r="40" ht="15.75" customHeight="1">
      <c r="C40" s="117" t="s">
        <v>282</v>
      </c>
      <c r="D40" s="140">
        <v>3.5456210417116734</v>
      </c>
      <c r="E40" s="119"/>
      <c r="F40" s="117"/>
      <c r="G40" s="117"/>
      <c r="H40" s="117"/>
      <c r="I40" s="117"/>
      <c r="J40" s="117"/>
      <c r="K40" s="117"/>
      <c r="L40" s="117"/>
      <c r="M40" s="117"/>
      <c r="N40" s="117"/>
      <c r="U40" s="129" t="s">
        <v>341</v>
      </c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7" t="s">
        <v>342</v>
      </c>
      <c r="AP40" s="138"/>
      <c r="AQ40" s="138"/>
      <c r="AR40" s="138"/>
      <c r="AS40" s="138"/>
      <c r="AT40" s="138"/>
      <c r="AU40" s="139"/>
      <c r="AV40" s="132"/>
    </row>
    <row r="41" ht="15.75" customHeight="1">
      <c r="C41" s="141" t="s">
        <v>283</v>
      </c>
      <c r="D41" s="142">
        <v>10.0</v>
      </c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U41" s="129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7"/>
      <c r="AP41" s="138"/>
      <c r="AQ41" s="138"/>
      <c r="AR41" s="138"/>
      <c r="AS41" s="138"/>
      <c r="AT41" s="138"/>
      <c r="AU41" s="139"/>
      <c r="AV41" s="132"/>
    </row>
    <row r="42" ht="15.75" customHeight="1">
      <c r="C42" s="119"/>
      <c r="D42" s="119"/>
      <c r="E42" s="119"/>
      <c r="F42" s="119"/>
      <c r="G42" s="119"/>
      <c r="H42" s="119"/>
      <c r="I42" s="119"/>
      <c r="J42" s="119"/>
      <c r="K42" s="119"/>
      <c r="L42" s="117"/>
      <c r="M42" s="117"/>
      <c r="N42" s="117"/>
      <c r="P42" s="5" t="s">
        <v>343</v>
      </c>
      <c r="Q42" s="143" t="s">
        <v>344</v>
      </c>
      <c r="R42" s="144"/>
      <c r="U42" s="129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45" t="s">
        <v>345</v>
      </c>
      <c r="AP42" s="146"/>
      <c r="AQ42" s="146"/>
      <c r="AR42" s="146"/>
      <c r="AS42" s="146"/>
      <c r="AT42" s="146"/>
      <c r="AU42" s="147"/>
      <c r="AV42" s="132"/>
    </row>
    <row r="43" ht="15.75" customHeight="1">
      <c r="C43" s="119" t="s">
        <v>284</v>
      </c>
      <c r="D43" s="119"/>
      <c r="E43" s="119"/>
      <c r="F43" s="119"/>
      <c r="G43" s="119"/>
      <c r="H43" s="119"/>
      <c r="I43" s="119"/>
      <c r="J43" s="119"/>
      <c r="K43" s="119"/>
      <c r="L43" s="117"/>
      <c r="M43" s="117"/>
      <c r="N43" s="117"/>
      <c r="Q43" s="148"/>
      <c r="R43" s="144"/>
      <c r="U43" s="129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2"/>
    </row>
    <row r="44" ht="15.75" customHeight="1">
      <c r="C44" s="149"/>
      <c r="D44" s="150" t="s">
        <v>285</v>
      </c>
      <c r="E44" s="150" t="s">
        <v>286</v>
      </c>
      <c r="F44" s="150" t="s">
        <v>287</v>
      </c>
      <c r="G44" s="150" t="s">
        <v>288</v>
      </c>
      <c r="H44" s="150" t="s">
        <v>289</v>
      </c>
      <c r="I44" s="119"/>
      <c r="J44" s="119"/>
      <c r="K44" s="119"/>
      <c r="L44" s="117"/>
      <c r="M44" s="117"/>
      <c r="N44" s="117"/>
      <c r="Q44" s="151" t="s">
        <v>346</v>
      </c>
      <c r="R44" s="144"/>
      <c r="U44" s="129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2"/>
    </row>
    <row r="45" ht="15.75" customHeight="1">
      <c r="C45" s="119" t="s">
        <v>290</v>
      </c>
      <c r="D45" s="140">
        <v>13.0</v>
      </c>
      <c r="E45" s="140">
        <v>64.45714285714288</v>
      </c>
      <c r="F45" s="140">
        <v>4.95824175824176</v>
      </c>
      <c r="G45" s="140">
        <v>0.7324675324675328</v>
      </c>
      <c r="H45" s="152" t="e">
        <v>#NUM!</v>
      </c>
      <c r="I45" s="119"/>
      <c r="J45" s="119"/>
      <c r="K45" s="119"/>
      <c r="L45" s="117"/>
      <c r="M45" s="117"/>
      <c r="N45" s="117"/>
      <c r="Q45" s="148"/>
      <c r="R45" s="144"/>
      <c r="U45" s="129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2"/>
    </row>
    <row r="46" ht="15.75" customHeight="1">
      <c r="C46" s="119" t="s">
        <v>291</v>
      </c>
      <c r="D46" s="140">
        <v>2.0</v>
      </c>
      <c r="E46" s="140">
        <v>25.142857142857142</v>
      </c>
      <c r="F46" s="140">
        <v>12.571428571428571</v>
      </c>
      <c r="G46" s="119"/>
      <c r="H46" s="119"/>
      <c r="I46" s="119"/>
      <c r="J46" s="119"/>
      <c r="K46" s="119"/>
      <c r="L46" s="117"/>
      <c r="M46" s="117"/>
      <c r="N46" s="117"/>
      <c r="Q46" s="151" t="s">
        <v>347</v>
      </c>
      <c r="R46" s="144"/>
      <c r="U46" s="129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2"/>
    </row>
    <row r="47" ht="15.75" customHeight="1">
      <c r="C47" s="141" t="s">
        <v>292</v>
      </c>
      <c r="D47" s="142">
        <v>15.0</v>
      </c>
      <c r="E47" s="142">
        <v>89.60000000000002</v>
      </c>
      <c r="F47" s="141"/>
      <c r="G47" s="141"/>
      <c r="H47" s="141"/>
      <c r="I47" s="117"/>
      <c r="J47" s="117"/>
      <c r="K47" s="117"/>
      <c r="L47" s="117"/>
      <c r="M47" s="117"/>
      <c r="N47" s="117"/>
      <c r="Q47" s="148"/>
      <c r="R47" s="144"/>
      <c r="U47" s="153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5"/>
    </row>
    <row r="48" ht="15.75" customHeight="1">
      <c r="C48" s="119"/>
      <c r="D48" s="119"/>
      <c r="E48" s="119"/>
      <c r="F48" s="119"/>
      <c r="G48" s="119"/>
      <c r="H48" s="119"/>
      <c r="I48" s="119"/>
      <c r="J48" s="119"/>
      <c r="K48" s="119"/>
      <c r="L48" s="149"/>
      <c r="M48" s="156"/>
      <c r="N48" s="156"/>
      <c r="Q48" s="151" t="s">
        <v>348</v>
      </c>
      <c r="R48" s="144"/>
    </row>
    <row r="49" ht="15.75" customHeight="1">
      <c r="C49" s="156"/>
      <c r="D49" s="123" t="s">
        <v>267</v>
      </c>
      <c r="E49" s="123" t="s">
        <v>282</v>
      </c>
      <c r="F49" s="123" t="s">
        <v>293</v>
      </c>
      <c r="G49" s="123" t="s">
        <v>294</v>
      </c>
      <c r="H49" s="123" t="s">
        <v>295</v>
      </c>
      <c r="I49" s="123" t="s">
        <v>296</v>
      </c>
      <c r="J49" s="123" t="s">
        <v>349</v>
      </c>
      <c r="K49" s="123" t="s">
        <v>350</v>
      </c>
      <c r="L49" s="117"/>
      <c r="M49" s="117"/>
      <c r="N49" s="117"/>
      <c r="U49" s="157" t="s">
        <v>351</v>
      </c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7"/>
    </row>
    <row r="50" ht="15.75" customHeight="1">
      <c r="C50" s="117" t="s">
        <v>269</v>
      </c>
      <c r="D50" s="128">
        <v>52.00000000000001</v>
      </c>
      <c r="E50" s="128">
        <v>10.636863125135019</v>
      </c>
      <c r="F50" s="128">
        <v>4.888659315087309</v>
      </c>
      <c r="G50" s="128">
        <v>0.03938722105291401</v>
      </c>
      <c r="H50" s="128">
        <v>6.233271838666411</v>
      </c>
      <c r="I50" s="128">
        <v>97.7667281613336</v>
      </c>
      <c r="J50" s="128">
        <v>6.233271838666411</v>
      </c>
      <c r="K50" s="128">
        <v>97.7667281613336</v>
      </c>
      <c r="L50" s="117"/>
      <c r="M50" s="117"/>
      <c r="N50" s="117"/>
      <c r="Q50" s="143" t="s">
        <v>352</v>
      </c>
      <c r="R50" s="144"/>
      <c r="S50" s="144"/>
      <c r="U50" s="129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1"/>
      <c r="AQ50" s="130"/>
      <c r="AR50" s="130"/>
      <c r="AS50" s="130"/>
      <c r="AT50" s="130"/>
      <c r="AU50" s="130"/>
      <c r="AV50" s="132"/>
    </row>
    <row r="51" ht="15.75" customHeight="1">
      <c r="C51" s="117" t="s">
        <v>301</v>
      </c>
      <c r="D51" s="128">
        <v>0.0</v>
      </c>
      <c r="E51" s="128">
        <v>0.0</v>
      </c>
      <c r="F51" s="128">
        <v>65535.0</v>
      </c>
      <c r="G51" s="158" t="e">
        <v>#NUM!</v>
      </c>
      <c r="H51" s="128">
        <v>0.0</v>
      </c>
      <c r="I51" s="128">
        <v>0.0</v>
      </c>
      <c r="J51" s="128">
        <v>0.0</v>
      </c>
      <c r="K51" s="128">
        <v>0.0</v>
      </c>
      <c r="L51" s="117"/>
      <c r="M51" s="117"/>
      <c r="N51" s="117"/>
      <c r="Q51" s="148"/>
      <c r="R51" s="144"/>
      <c r="S51" s="144"/>
      <c r="U51" s="129" t="s">
        <v>353</v>
      </c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2"/>
    </row>
    <row r="52" ht="15.75" customHeight="1">
      <c r="C52" s="117" t="s">
        <v>310</v>
      </c>
      <c r="D52" s="128">
        <v>1.2857142857142847</v>
      </c>
      <c r="E52" s="128">
        <v>4.237827706911807</v>
      </c>
      <c r="F52" s="128">
        <v>0.30338993810845877</v>
      </c>
      <c r="G52" s="158" t="e">
        <v>#NUM!</v>
      </c>
      <c r="H52" s="128">
        <v>-16.94818666563771</v>
      </c>
      <c r="I52" s="128">
        <v>19.51961523706628</v>
      </c>
      <c r="J52" s="128">
        <v>-16.94818666563771</v>
      </c>
      <c r="K52" s="128">
        <v>19.51961523706628</v>
      </c>
      <c r="L52" s="117"/>
      <c r="M52" s="117"/>
      <c r="N52" s="117"/>
      <c r="Q52" s="151" t="s">
        <v>354</v>
      </c>
      <c r="R52" s="144"/>
      <c r="S52" s="144"/>
      <c r="U52" s="129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59" t="s">
        <v>355</v>
      </c>
      <c r="AQ52" s="160"/>
      <c r="AR52" s="160"/>
      <c r="AS52" s="160"/>
      <c r="AT52" s="160"/>
      <c r="AU52" s="160"/>
      <c r="AV52" s="161"/>
    </row>
    <row r="53" ht="15.75" customHeight="1">
      <c r="C53" s="117" t="s">
        <v>311</v>
      </c>
      <c r="D53" s="128">
        <v>0.0</v>
      </c>
      <c r="E53" s="128">
        <v>0.0</v>
      </c>
      <c r="F53" s="128">
        <v>65535.0</v>
      </c>
      <c r="G53" s="158" t="e">
        <v>#NUM!</v>
      </c>
      <c r="H53" s="128">
        <v>0.0</v>
      </c>
      <c r="I53" s="128">
        <v>0.0</v>
      </c>
      <c r="J53" s="128">
        <v>0.0</v>
      </c>
      <c r="K53" s="128">
        <v>0.0</v>
      </c>
      <c r="L53" s="117"/>
      <c r="M53" s="117"/>
      <c r="N53" s="117"/>
      <c r="Q53" s="148"/>
      <c r="R53" s="144"/>
      <c r="S53" s="144"/>
      <c r="U53" s="129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62"/>
      <c r="AQ53" s="5"/>
      <c r="AR53" s="5"/>
      <c r="AS53" s="5"/>
      <c r="AT53" s="5"/>
      <c r="AU53" s="5"/>
      <c r="AV53" s="163"/>
    </row>
    <row r="54" ht="15.75" customHeight="1">
      <c r="C54" s="117" t="s">
        <v>312</v>
      </c>
      <c r="D54" s="128">
        <v>3.2857142857142847</v>
      </c>
      <c r="E54" s="128">
        <v>6.565214453186319</v>
      </c>
      <c r="F54" s="128">
        <v>0.5004732608726311</v>
      </c>
      <c r="G54" s="158" t="e">
        <v>#NUM!</v>
      </c>
      <c r="H54" s="128">
        <v>-24.962123602678464</v>
      </c>
      <c r="I54" s="128">
        <v>31.533552174107033</v>
      </c>
      <c r="J54" s="128">
        <v>-24.962123602678464</v>
      </c>
      <c r="K54" s="128">
        <v>31.533552174107033</v>
      </c>
      <c r="L54" s="117"/>
      <c r="M54" s="117"/>
      <c r="N54" s="117"/>
      <c r="Q54" s="151" t="s">
        <v>356</v>
      </c>
      <c r="R54" s="144"/>
      <c r="S54" s="144"/>
      <c r="U54" s="129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62" t="s">
        <v>357</v>
      </c>
      <c r="AQ54" s="5"/>
      <c r="AR54" s="5"/>
      <c r="AS54" s="5"/>
      <c r="AT54" s="5"/>
      <c r="AU54" s="5"/>
      <c r="AV54" s="163"/>
    </row>
    <row r="55" ht="15.75" customHeight="1">
      <c r="C55" s="117" t="s">
        <v>313</v>
      </c>
      <c r="D55" s="128">
        <v>7.142857142857139</v>
      </c>
      <c r="E55" s="128">
        <v>9.284615319583954</v>
      </c>
      <c r="F55" s="128">
        <v>0.7693218186208292</v>
      </c>
      <c r="G55" s="128">
        <v>0.5221378750629038</v>
      </c>
      <c r="H55" s="128">
        <v>-32.80561830662445</v>
      </c>
      <c r="I55" s="128">
        <v>47.09133259233873</v>
      </c>
      <c r="J55" s="128">
        <v>-32.80561830662445</v>
      </c>
      <c r="K55" s="128">
        <v>47.09133259233873</v>
      </c>
      <c r="L55" s="117"/>
      <c r="M55" s="117"/>
      <c r="N55" s="117"/>
      <c r="Q55" s="148"/>
      <c r="R55" s="144"/>
      <c r="S55" s="144"/>
      <c r="U55" s="129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62"/>
      <c r="AQ55" s="5"/>
      <c r="AR55" s="5"/>
      <c r="AS55" s="5"/>
      <c r="AT55" s="5"/>
      <c r="AU55" s="5"/>
      <c r="AV55" s="163"/>
    </row>
    <row r="56" ht="15.75" customHeight="1">
      <c r="C56" s="117" t="s">
        <v>308</v>
      </c>
      <c r="D56" s="128">
        <v>0.8571428571428559</v>
      </c>
      <c r="E56" s="128">
        <v>5.99319341811515</v>
      </c>
      <c r="F56" s="128">
        <v>0.14301938838683867</v>
      </c>
      <c r="G56" s="128">
        <v>0.8993832293641693</v>
      </c>
      <c r="H56" s="128">
        <v>-24.929487163226817</v>
      </c>
      <c r="I56" s="128">
        <v>26.643772877512525</v>
      </c>
      <c r="J56" s="128">
        <v>-24.929487163226817</v>
      </c>
      <c r="K56" s="128">
        <v>26.643772877512525</v>
      </c>
      <c r="L56" s="117"/>
      <c r="M56" s="117"/>
      <c r="N56" s="117"/>
      <c r="Q56" s="151" t="s">
        <v>358</v>
      </c>
      <c r="R56" s="144"/>
      <c r="S56" s="144"/>
      <c r="U56" s="129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64" t="s">
        <v>359</v>
      </c>
      <c r="AQ56" s="165"/>
      <c r="AR56" s="165"/>
      <c r="AS56" s="165"/>
      <c r="AT56" s="165"/>
      <c r="AU56" s="165"/>
      <c r="AV56" s="166"/>
    </row>
    <row r="57" ht="15.75" customHeight="1">
      <c r="C57" s="117" t="s">
        <v>309</v>
      </c>
      <c r="D57" s="128">
        <v>-2.5714285714285725</v>
      </c>
      <c r="E57" s="128">
        <v>4.6423076597919755</v>
      </c>
      <c r="F57" s="128">
        <v>-0.5539117094069977</v>
      </c>
      <c r="G57" s="128">
        <v>0.6353015956871011</v>
      </c>
      <c r="H57" s="128">
        <v>-22.54566629616936</v>
      </c>
      <c r="I57" s="128">
        <v>17.402809153312216</v>
      </c>
      <c r="J57" s="128">
        <v>-22.54566629616936</v>
      </c>
      <c r="K57" s="128">
        <v>17.402809153312216</v>
      </c>
      <c r="L57" s="117"/>
      <c r="M57" s="117"/>
      <c r="N57" s="117"/>
      <c r="Q57" s="144"/>
      <c r="R57" s="144"/>
      <c r="S57" s="144"/>
      <c r="U57" s="129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2"/>
    </row>
    <row r="58" ht="15.75" customHeight="1">
      <c r="C58" s="117" t="s">
        <v>314</v>
      </c>
      <c r="D58" s="128">
        <v>0.0</v>
      </c>
      <c r="E58" s="128">
        <v>0.0</v>
      </c>
      <c r="F58" s="128">
        <v>65535.0</v>
      </c>
      <c r="G58" s="158" t="e">
        <v>#NUM!</v>
      </c>
      <c r="H58" s="128">
        <v>0.0</v>
      </c>
      <c r="I58" s="128">
        <v>0.0</v>
      </c>
      <c r="J58" s="128">
        <v>0.0</v>
      </c>
      <c r="K58" s="128">
        <v>0.0</v>
      </c>
      <c r="L58" s="117"/>
      <c r="M58" s="117"/>
      <c r="N58" s="117"/>
      <c r="Q58" s="144" t="s">
        <v>360</v>
      </c>
      <c r="R58" s="144"/>
      <c r="S58" s="144"/>
      <c r="U58" s="129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2"/>
    </row>
    <row r="59" ht="15.75" customHeight="1">
      <c r="C59" s="117" t="s">
        <v>315</v>
      </c>
      <c r="D59" s="140">
        <v>0.0</v>
      </c>
      <c r="E59" s="140">
        <v>0.0</v>
      </c>
      <c r="F59" s="140">
        <v>65535.0</v>
      </c>
      <c r="G59" s="152" t="e">
        <v>#NUM!</v>
      </c>
      <c r="H59" s="140">
        <v>0.0</v>
      </c>
      <c r="I59" s="140">
        <v>0.0</v>
      </c>
      <c r="J59" s="140">
        <v>0.0</v>
      </c>
      <c r="K59" s="140">
        <v>0.0</v>
      </c>
      <c r="L59" s="119"/>
      <c r="M59" s="117"/>
      <c r="N59" s="117"/>
      <c r="Q59" s="144" t="s">
        <v>361</v>
      </c>
      <c r="R59" s="144"/>
      <c r="S59" s="144"/>
      <c r="U59" s="153"/>
      <c r="V59" s="154"/>
      <c r="W59" s="154"/>
      <c r="X59" s="154"/>
      <c r="Y59" s="154"/>
      <c r="Z59" s="154"/>
      <c r="AA59" s="154"/>
      <c r="AB59" s="154"/>
      <c r="AC59" s="154"/>
      <c r="AD59" s="154"/>
      <c r="AE59" s="154"/>
      <c r="AF59" s="154"/>
      <c r="AG59" s="154"/>
      <c r="AH59" s="154"/>
      <c r="AI59" s="154"/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  <c r="AV59" s="155"/>
    </row>
    <row r="60" ht="15.75" customHeight="1">
      <c r="C60" s="117" t="s">
        <v>316</v>
      </c>
      <c r="D60" s="140">
        <v>-1.1428571428571446</v>
      </c>
      <c r="E60" s="140">
        <v>3.28260722659316</v>
      </c>
      <c r="F60" s="140">
        <v>-0.34815531191139615</v>
      </c>
      <c r="G60" s="152" t="e">
        <v>#NUM!</v>
      </c>
      <c r="H60" s="140">
        <v>-15.26677608705352</v>
      </c>
      <c r="I60" s="140">
        <v>12.981061801339232</v>
      </c>
      <c r="J60" s="140">
        <v>-15.26677608705352</v>
      </c>
      <c r="K60" s="140">
        <v>12.981061801339232</v>
      </c>
      <c r="L60" s="167"/>
      <c r="M60" s="141"/>
      <c r="N60" s="141"/>
    </row>
    <row r="61" ht="15.75" customHeight="1">
      <c r="C61" s="117" t="s">
        <v>304</v>
      </c>
      <c r="D61" s="128">
        <v>0.2857142857142849</v>
      </c>
      <c r="E61" s="128">
        <v>4.2378277069118075</v>
      </c>
      <c r="F61" s="128">
        <v>0.06741998624632402</v>
      </c>
      <c r="G61" s="128">
        <v>0.9523809523809531</v>
      </c>
      <c r="H61" s="128">
        <v>-17.948186665637714</v>
      </c>
      <c r="I61" s="128">
        <v>18.519615237066283</v>
      </c>
      <c r="J61" s="128">
        <v>-17.948186665637714</v>
      </c>
      <c r="K61" s="128">
        <v>18.519615237066283</v>
      </c>
      <c r="L61" s="117"/>
      <c r="M61" s="117"/>
      <c r="N61" s="117"/>
    </row>
    <row r="62" ht="15.75" customHeight="1">
      <c r="C62" s="117" t="s">
        <v>305</v>
      </c>
      <c r="D62" s="128">
        <v>0.0</v>
      </c>
      <c r="E62" s="128">
        <v>0.0</v>
      </c>
      <c r="F62" s="128">
        <v>65535.0</v>
      </c>
      <c r="G62" s="158" t="e">
        <v>#NUM!</v>
      </c>
      <c r="H62" s="128">
        <v>0.0</v>
      </c>
      <c r="I62" s="128">
        <v>0.0</v>
      </c>
      <c r="J62" s="128">
        <v>0.0</v>
      </c>
      <c r="K62" s="128">
        <v>0.0</v>
      </c>
      <c r="L62" s="117"/>
      <c r="M62" s="117"/>
      <c r="N62" s="117"/>
      <c r="Q62" s="168" t="s">
        <v>362</v>
      </c>
      <c r="R62" s="169"/>
      <c r="S62" s="169"/>
      <c r="U62" s="170" t="s">
        <v>363</v>
      </c>
      <c r="V62" s="171"/>
      <c r="W62" s="171"/>
      <c r="X62" s="171"/>
      <c r="Y62" s="171"/>
      <c r="Z62" s="171"/>
      <c r="AA62" s="171"/>
      <c r="AB62" s="171"/>
      <c r="AC62" s="171"/>
      <c r="AD62" s="171"/>
    </row>
    <row r="63" ht="15.75" customHeight="1">
      <c r="C63" s="141" t="s">
        <v>317</v>
      </c>
      <c r="D63" s="142">
        <v>0.0</v>
      </c>
      <c r="E63" s="142">
        <v>0.0</v>
      </c>
      <c r="F63" s="142">
        <v>65535.0</v>
      </c>
      <c r="G63" s="172" t="e">
        <v>#NUM!</v>
      </c>
      <c r="H63" s="142">
        <v>0.0</v>
      </c>
      <c r="I63" s="142">
        <v>0.0</v>
      </c>
      <c r="J63" s="142">
        <v>0.0</v>
      </c>
      <c r="K63" s="142">
        <v>0.0</v>
      </c>
      <c r="L63" s="117"/>
      <c r="M63" s="117"/>
      <c r="N63" s="117"/>
      <c r="Q63" s="173"/>
      <c r="R63" s="169"/>
      <c r="S63" s="169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</row>
    <row r="64" ht="15.75" customHeight="1">
      <c r="C64" s="117"/>
      <c r="D64" s="119"/>
      <c r="E64" s="119"/>
      <c r="F64" s="119"/>
      <c r="G64" s="119"/>
      <c r="H64" s="119"/>
      <c r="I64" s="119"/>
      <c r="J64" s="119"/>
      <c r="K64" s="119"/>
      <c r="L64" s="167"/>
      <c r="M64" s="141"/>
      <c r="N64" s="141"/>
      <c r="Q64" s="173" t="s">
        <v>364</v>
      </c>
      <c r="R64" s="169"/>
      <c r="S64" s="169"/>
      <c r="U64" s="174" t="s">
        <v>365</v>
      </c>
      <c r="V64" s="171"/>
      <c r="W64" s="171"/>
      <c r="X64" s="171"/>
      <c r="Y64" s="171"/>
      <c r="Z64" s="171"/>
      <c r="AA64" s="171"/>
      <c r="AB64" s="171"/>
      <c r="AC64" s="171"/>
      <c r="AD64" s="171"/>
    </row>
    <row r="65" ht="15.75" customHeight="1"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Q65" s="173"/>
      <c r="R65" s="169"/>
      <c r="S65" s="169"/>
      <c r="U65" s="175"/>
      <c r="V65" s="171"/>
      <c r="W65" s="171"/>
      <c r="X65" s="171"/>
      <c r="Y65" s="171"/>
      <c r="Z65" s="171"/>
      <c r="AA65" s="171"/>
      <c r="AB65" s="171"/>
      <c r="AC65" s="171"/>
      <c r="AD65" s="171"/>
    </row>
    <row r="66" ht="15.75" customHeight="1">
      <c r="Q66" s="173" t="s">
        <v>366</v>
      </c>
      <c r="R66" s="169"/>
      <c r="S66" s="169"/>
      <c r="U66" s="175" t="s">
        <v>367</v>
      </c>
      <c r="V66" s="171"/>
      <c r="W66" s="171"/>
      <c r="X66" s="171"/>
      <c r="Y66" s="171"/>
      <c r="Z66" s="171"/>
      <c r="AA66" s="171"/>
      <c r="AB66" s="171"/>
      <c r="AC66" s="171"/>
      <c r="AD66" s="171"/>
    </row>
    <row r="67" ht="15.75" customHeight="1">
      <c r="Q67" s="173"/>
      <c r="R67" s="169"/>
      <c r="S67" s="169"/>
      <c r="U67" s="175"/>
      <c r="V67" s="171"/>
      <c r="W67" s="171"/>
      <c r="X67" s="171"/>
      <c r="Y67" s="171"/>
      <c r="Z67" s="171"/>
      <c r="AA67" s="171"/>
      <c r="AB67" s="171"/>
      <c r="AC67" s="171"/>
      <c r="AD67" s="171"/>
    </row>
    <row r="68" ht="15.75" customHeight="1">
      <c r="Q68" s="176" t="s">
        <v>368</v>
      </c>
      <c r="R68" s="177"/>
      <c r="S68" s="177"/>
      <c r="U68" s="175"/>
      <c r="V68" s="171"/>
      <c r="W68" s="171"/>
      <c r="X68" s="171"/>
      <c r="Y68" s="171"/>
      <c r="Z68" s="171"/>
      <c r="AA68" s="171"/>
      <c r="AB68" s="171"/>
      <c r="AC68" s="171"/>
      <c r="AD68" s="171"/>
    </row>
    <row r="69" ht="15.75" customHeight="1">
      <c r="Q69" s="178"/>
      <c r="R69" s="177"/>
      <c r="S69" s="177"/>
      <c r="U69" s="175"/>
      <c r="V69" s="171"/>
      <c r="W69" s="171"/>
      <c r="X69" s="171"/>
      <c r="Y69" s="171"/>
      <c r="Z69" s="171"/>
      <c r="AA69" s="171"/>
      <c r="AB69" s="171"/>
      <c r="AC69" s="171"/>
      <c r="AD69" s="171"/>
    </row>
    <row r="70" ht="15.75" customHeight="1">
      <c r="Q70" s="176" t="s">
        <v>369</v>
      </c>
      <c r="R70" s="177"/>
      <c r="S70" s="177"/>
      <c r="U70" s="175" t="s">
        <v>370</v>
      </c>
      <c r="V70" s="171"/>
      <c r="W70" s="171"/>
      <c r="X70" s="171"/>
      <c r="Y70" s="171"/>
      <c r="Z70" s="171"/>
      <c r="AA70" s="171"/>
      <c r="AB70" s="171"/>
      <c r="AC70" s="171"/>
      <c r="AD70" s="171"/>
    </row>
    <row r="71" ht="15.75" customHeight="1">
      <c r="C71" s="37"/>
      <c r="D71" s="37"/>
      <c r="E71" s="179" t="s">
        <v>371</v>
      </c>
      <c r="F71" s="37"/>
      <c r="G71" s="37"/>
      <c r="H71" s="37"/>
      <c r="I71" s="37"/>
      <c r="J71" s="37"/>
      <c r="K71" s="37"/>
      <c r="U71" s="175"/>
      <c r="V71" s="171"/>
      <c r="W71" s="171"/>
      <c r="X71" s="171"/>
      <c r="Y71" s="171"/>
      <c r="Z71" s="171"/>
      <c r="AA71" s="171"/>
      <c r="AB71" s="171"/>
      <c r="AC71" s="171"/>
      <c r="AD71" s="171"/>
    </row>
    <row r="72" ht="15.75" customHeight="1">
      <c r="C72" s="37"/>
      <c r="D72" s="37"/>
      <c r="E72" s="37"/>
      <c r="F72" s="37"/>
      <c r="G72" s="37"/>
      <c r="H72" s="37"/>
      <c r="I72" s="37"/>
      <c r="J72" s="37"/>
      <c r="K72" s="37"/>
      <c r="Q72" s="168" t="s">
        <v>372</v>
      </c>
      <c r="R72" s="169"/>
      <c r="S72" s="169"/>
      <c r="U72" s="175" t="s">
        <v>373</v>
      </c>
      <c r="V72" s="171"/>
      <c r="W72" s="171"/>
      <c r="X72" s="171"/>
      <c r="Y72" s="171"/>
      <c r="Z72" s="171"/>
      <c r="AA72" s="171"/>
      <c r="AB72" s="171"/>
      <c r="AC72" s="171"/>
      <c r="AD72" s="171"/>
    </row>
    <row r="73" ht="15.75" customHeight="1">
      <c r="C73" s="95"/>
      <c r="D73" s="95"/>
      <c r="E73" s="37"/>
      <c r="F73" s="37"/>
      <c r="G73" s="37"/>
      <c r="H73" s="37"/>
      <c r="I73" s="37"/>
      <c r="J73" s="37"/>
      <c r="K73" s="37"/>
      <c r="Q73" s="173"/>
      <c r="R73" s="169"/>
      <c r="S73" s="169"/>
      <c r="U73" s="175"/>
      <c r="V73" s="171"/>
      <c r="W73" s="171"/>
      <c r="X73" s="171"/>
      <c r="Y73" s="171"/>
      <c r="Z73" s="171"/>
      <c r="AA73" s="171"/>
      <c r="AB73" s="171"/>
      <c r="AC73" s="171"/>
      <c r="AD73" s="171"/>
    </row>
    <row r="74" ht="15.75" customHeight="1">
      <c r="C74" s="37"/>
      <c r="D74" s="37"/>
      <c r="E74" s="37"/>
      <c r="F74" s="37"/>
      <c r="G74" s="37"/>
      <c r="H74" s="37"/>
      <c r="I74" s="37"/>
      <c r="J74" s="37"/>
      <c r="K74" s="37"/>
      <c r="Q74" s="173" t="s">
        <v>374</v>
      </c>
      <c r="R74" s="169"/>
      <c r="S74" s="169"/>
      <c r="U74" s="175" t="s">
        <v>375</v>
      </c>
      <c r="V74" s="171"/>
      <c r="W74" s="171"/>
      <c r="X74" s="171"/>
      <c r="Y74" s="171"/>
      <c r="Z74" s="171"/>
      <c r="AA74" s="171"/>
      <c r="AB74" s="171"/>
      <c r="AC74" s="171"/>
      <c r="AD74" s="171"/>
    </row>
    <row r="75" ht="15.75" customHeight="1">
      <c r="C75" s="37"/>
      <c r="D75" s="37"/>
      <c r="E75" s="37"/>
      <c r="F75" s="37"/>
      <c r="G75" s="37"/>
      <c r="H75" s="37"/>
      <c r="I75" s="37"/>
      <c r="J75" s="37"/>
      <c r="K75" s="37"/>
      <c r="Q75" s="173"/>
      <c r="R75" s="169"/>
      <c r="S75" s="169"/>
    </row>
    <row r="76" ht="15.75" customHeight="1">
      <c r="C76" s="37"/>
      <c r="D76" s="37"/>
      <c r="E76" s="37"/>
      <c r="F76" s="37"/>
      <c r="G76" s="37"/>
      <c r="H76" s="37"/>
      <c r="I76" s="37"/>
      <c r="J76" s="37"/>
      <c r="K76" s="37"/>
      <c r="Q76" s="173" t="s">
        <v>376</v>
      </c>
      <c r="R76" s="169"/>
      <c r="S76" s="169"/>
    </row>
    <row r="77" ht="15.75" customHeight="1">
      <c r="C77" s="37"/>
      <c r="D77" s="37"/>
      <c r="E77" s="37"/>
      <c r="F77" s="37"/>
      <c r="G77" s="37"/>
      <c r="H77" s="37"/>
      <c r="I77" s="37"/>
      <c r="J77" s="37"/>
      <c r="K77" s="37"/>
      <c r="Q77" s="173"/>
      <c r="R77" s="169"/>
      <c r="S77" s="169"/>
      <c r="U77" s="180" t="s">
        <v>377</v>
      </c>
      <c r="V77" s="5"/>
      <c r="W77" s="5"/>
      <c r="X77" s="5"/>
      <c r="Y77" s="5"/>
      <c r="Z77" s="5"/>
      <c r="AA77" s="5"/>
      <c r="AB77" s="5"/>
      <c r="AC77" s="5"/>
      <c r="AD77" s="5"/>
    </row>
    <row r="78" ht="15.75" customHeight="1">
      <c r="C78" s="37"/>
      <c r="D78" s="37"/>
      <c r="E78" s="37"/>
      <c r="F78" s="37"/>
      <c r="G78" s="37"/>
      <c r="H78" s="37"/>
      <c r="I78" s="37"/>
      <c r="J78" s="37"/>
      <c r="K78" s="37"/>
      <c r="Q78" s="173"/>
      <c r="R78" s="169"/>
      <c r="S78" s="169"/>
      <c r="U78" s="181"/>
      <c r="V78" s="5"/>
      <c r="W78" s="5"/>
      <c r="X78" s="5"/>
      <c r="Y78" s="5"/>
      <c r="Z78" s="5"/>
      <c r="AA78" s="5"/>
      <c r="AB78" s="5"/>
      <c r="AC78" s="5"/>
      <c r="AD78" s="5"/>
    </row>
    <row r="79" ht="15.75" customHeight="1">
      <c r="C79" s="37"/>
      <c r="D79" s="37"/>
      <c r="E79" s="37"/>
      <c r="F79" s="37"/>
      <c r="G79" s="37"/>
      <c r="H79" s="37"/>
      <c r="I79" s="37"/>
      <c r="J79" s="37"/>
      <c r="K79" s="37"/>
      <c r="Q79" s="173"/>
      <c r="R79" s="169"/>
      <c r="S79" s="169"/>
      <c r="U79" s="181" t="s">
        <v>378</v>
      </c>
      <c r="V79" s="5"/>
      <c r="W79" s="5"/>
      <c r="X79" s="5"/>
      <c r="Y79" s="5"/>
      <c r="Z79" s="5"/>
      <c r="AA79" s="5"/>
      <c r="AB79" s="5"/>
      <c r="AC79" s="5"/>
      <c r="AD79" s="5"/>
    </row>
    <row r="80" ht="15.75" customHeight="1">
      <c r="C80" s="37"/>
      <c r="D80" s="37"/>
      <c r="E80" s="37"/>
      <c r="F80" s="37"/>
      <c r="G80" s="37"/>
      <c r="H80" s="37"/>
      <c r="I80" s="37"/>
      <c r="J80" s="37"/>
      <c r="K80" s="37"/>
      <c r="Q80" s="173" t="s">
        <v>379</v>
      </c>
      <c r="R80" s="169"/>
      <c r="S80" s="169"/>
      <c r="U80" s="181"/>
      <c r="V80" s="5"/>
      <c r="W80" s="5"/>
      <c r="X80" s="5"/>
      <c r="Y80" s="5"/>
      <c r="Z80" s="5"/>
      <c r="AA80" s="5"/>
      <c r="AB80" s="5"/>
      <c r="AC80" s="5"/>
      <c r="AD80" s="5"/>
    </row>
    <row r="81" ht="15.75" customHeight="1">
      <c r="C81" s="95"/>
      <c r="D81" s="95"/>
      <c r="E81" s="95"/>
      <c r="F81" s="95"/>
      <c r="G81" s="95"/>
      <c r="H81" s="95"/>
      <c r="I81" s="37"/>
      <c r="J81" s="37"/>
      <c r="K81" s="37"/>
      <c r="Q81" s="173"/>
      <c r="R81" s="169"/>
      <c r="S81" s="169"/>
      <c r="U81" s="181" t="s">
        <v>380</v>
      </c>
      <c r="V81" s="5"/>
      <c r="W81" s="5"/>
      <c r="X81" s="5"/>
      <c r="Y81" s="5"/>
      <c r="Z81" s="5"/>
      <c r="AA81" s="5"/>
      <c r="AB81" s="5"/>
      <c r="AC81" s="5"/>
      <c r="AD81" s="5"/>
    </row>
    <row r="82" ht="15.75" customHeight="1">
      <c r="C82" s="37"/>
      <c r="D82" s="37"/>
      <c r="E82" s="37"/>
      <c r="F82" s="37"/>
      <c r="G82" s="37"/>
      <c r="H82" s="37"/>
      <c r="I82" s="37"/>
      <c r="J82" s="37"/>
      <c r="K82" s="37"/>
      <c r="Q82" s="173" t="s">
        <v>381</v>
      </c>
      <c r="R82" s="169"/>
      <c r="S82" s="169"/>
      <c r="U82" s="181"/>
      <c r="V82" s="5"/>
      <c r="W82" s="5"/>
      <c r="X82" s="5"/>
      <c r="Y82" s="5"/>
      <c r="Z82" s="5"/>
      <c r="AA82" s="5"/>
      <c r="AB82" s="5"/>
      <c r="AC82" s="5"/>
      <c r="AD82" s="5"/>
    </row>
    <row r="83" ht="15.75" customHeight="1">
      <c r="C83" s="37"/>
      <c r="D83" s="37"/>
      <c r="E83" s="37"/>
      <c r="F83" s="37"/>
      <c r="G83" s="37"/>
      <c r="H83" s="37"/>
      <c r="I83" s="37"/>
      <c r="J83" s="37"/>
      <c r="K83" s="37"/>
      <c r="Q83" s="169"/>
      <c r="R83" s="169"/>
      <c r="S83" s="169"/>
      <c r="U83" s="182" t="s">
        <v>382</v>
      </c>
      <c r="V83" s="5"/>
      <c r="W83" s="5"/>
      <c r="X83" s="5"/>
      <c r="Y83" s="5"/>
      <c r="Z83" s="5"/>
      <c r="AA83" s="5"/>
      <c r="AB83" s="5"/>
      <c r="AC83" s="5"/>
      <c r="AD83" s="5"/>
    </row>
    <row r="84" ht="15.75" customHeight="1">
      <c r="C84" s="37"/>
      <c r="D84" s="37"/>
      <c r="E84" s="37"/>
      <c r="F84" s="37"/>
      <c r="G84" s="37"/>
      <c r="H84" s="37"/>
      <c r="I84" s="37"/>
      <c r="J84" s="37"/>
      <c r="K84" s="37"/>
      <c r="Q84" s="169" t="s">
        <v>383</v>
      </c>
      <c r="R84" s="169"/>
      <c r="S84" s="169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ht="15.75" customHeight="1">
      <c r="C85" s="37"/>
      <c r="D85" s="37"/>
      <c r="E85" s="37"/>
      <c r="F85" s="37"/>
      <c r="G85" s="37"/>
      <c r="H85" s="37"/>
      <c r="I85" s="37"/>
      <c r="J85" s="37"/>
      <c r="K85" s="37"/>
      <c r="P85" s="5" t="s">
        <v>384</v>
      </c>
    </row>
    <row r="86" ht="15.75" customHeight="1">
      <c r="C86" s="95"/>
      <c r="D86" s="95"/>
      <c r="E86" s="95"/>
      <c r="F86" s="95"/>
      <c r="G86" s="95"/>
      <c r="H86" s="95"/>
      <c r="I86" s="95"/>
      <c r="J86" s="95"/>
      <c r="K86" s="95"/>
    </row>
    <row r="87" ht="15.75" customHeight="1">
      <c r="C87" s="37"/>
      <c r="D87" s="37"/>
      <c r="E87" s="37"/>
      <c r="F87" s="37"/>
      <c r="G87" s="37"/>
      <c r="H87" s="37"/>
      <c r="I87" s="37"/>
      <c r="J87" s="37"/>
      <c r="K87" s="37"/>
      <c r="Q87" s="168" t="s">
        <v>385</v>
      </c>
      <c r="R87" s="169"/>
      <c r="S87" s="169"/>
      <c r="U87" s="122" t="s">
        <v>386</v>
      </c>
    </row>
    <row r="88" ht="15.75" customHeight="1">
      <c r="C88" s="37"/>
      <c r="D88" s="37"/>
      <c r="E88" s="37"/>
      <c r="F88" s="37"/>
      <c r="G88" s="37"/>
      <c r="H88" s="37"/>
      <c r="I88" s="37"/>
      <c r="J88" s="37"/>
      <c r="K88" s="37"/>
      <c r="Q88" s="173"/>
      <c r="R88" s="169"/>
      <c r="S88" s="169"/>
    </row>
    <row r="89" ht="15.75" customHeight="1">
      <c r="C89" s="37"/>
      <c r="D89" s="37"/>
      <c r="E89" s="37"/>
      <c r="F89" s="37"/>
      <c r="G89" s="37"/>
      <c r="H89" s="37"/>
      <c r="I89" s="37"/>
      <c r="J89" s="37"/>
      <c r="K89" s="37"/>
      <c r="Q89" s="173" t="s">
        <v>387</v>
      </c>
      <c r="R89" s="169"/>
      <c r="S89" s="169"/>
      <c r="U89" s="183" t="s">
        <v>388</v>
      </c>
      <c r="V89" s="160"/>
      <c r="W89" s="160"/>
      <c r="X89" s="160"/>
      <c r="Y89" s="160"/>
      <c r="Z89" s="160"/>
      <c r="AA89" s="160"/>
      <c r="AB89" s="160"/>
      <c r="AC89" s="160"/>
      <c r="AD89" s="160"/>
      <c r="AE89" s="160"/>
      <c r="AF89" s="160"/>
      <c r="AG89" s="160"/>
      <c r="AH89" s="160"/>
      <c r="AI89" s="160"/>
      <c r="AJ89" s="161"/>
    </row>
    <row r="90" ht="15.75" customHeight="1">
      <c r="C90" s="37"/>
      <c r="D90" s="37"/>
      <c r="E90" s="37"/>
      <c r="F90" s="37"/>
      <c r="G90" s="37"/>
      <c r="H90" s="37"/>
      <c r="I90" s="37"/>
      <c r="J90" s="37"/>
      <c r="K90" s="37"/>
      <c r="Q90" s="173"/>
      <c r="R90" s="169"/>
      <c r="S90" s="169"/>
      <c r="U90" s="162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163"/>
    </row>
    <row r="91" ht="15.75" customHeight="1">
      <c r="C91" s="37"/>
      <c r="D91" s="37"/>
      <c r="E91" s="37"/>
      <c r="F91" s="37"/>
      <c r="G91" s="37"/>
      <c r="H91" s="37"/>
      <c r="I91" s="37"/>
      <c r="J91" s="37"/>
      <c r="K91" s="37"/>
      <c r="Q91" s="173" t="s">
        <v>389</v>
      </c>
      <c r="R91" s="169"/>
      <c r="S91" s="169"/>
      <c r="U91" s="162" t="s">
        <v>390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163"/>
    </row>
    <row r="92" ht="15.75" customHeight="1">
      <c r="C92" s="37"/>
      <c r="D92" s="37"/>
      <c r="E92" s="37"/>
      <c r="F92" s="37"/>
      <c r="G92" s="37"/>
      <c r="H92" s="37"/>
      <c r="I92" s="37"/>
      <c r="J92" s="37"/>
      <c r="K92" s="37"/>
      <c r="Q92" s="173"/>
      <c r="R92" s="169"/>
      <c r="S92" s="169"/>
      <c r="U92" s="184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163"/>
    </row>
    <row r="93" ht="15.75" customHeight="1">
      <c r="C93" s="37"/>
      <c r="D93" s="37"/>
      <c r="E93" s="37"/>
      <c r="F93" s="37"/>
      <c r="G93" s="37"/>
      <c r="H93" s="37"/>
      <c r="I93" s="37"/>
      <c r="J93" s="37"/>
      <c r="K93" s="37"/>
      <c r="Q93" s="173" t="s">
        <v>391</v>
      </c>
      <c r="R93" s="169"/>
      <c r="S93" s="169"/>
      <c r="U93" s="185" t="s">
        <v>392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163"/>
    </row>
    <row r="94" ht="15.75" customHeight="1">
      <c r="C94" s="37"/>
      <c r="D94" s="37"/>
      <c r="E94" s="37"/>
      <c r="F94" s="37"/>
      <c r="G94" s="37"/>
      <c r="H94" s="37"/>
      <c r="I94" s="37"/>
      <c r="J94" s="37"/>
      <c r="K94" s="37"/>
      <c r="Q94" s="169"/>
      <c r="R94" s="169"/>
      <c r="S94" s="169"/>
      <c r="U94" s="162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163"/>
    </row>
    <row r="95" ht="15.75" customHeight="1">
      <c r="C95" s="37"/>
      <c r="D95" s="37"/>
      <c r="E95" s="37"/>
      <c r="F95" s="37"/>
      <c r="G95" s="37"/>
      <c r="H95" s="37"/>
      <c r="I95" s="37"/>
      <c r="J95" s="37"/>
      <c r="K95" s="37"/>
      <c r="U95" s="137" t="s">
        <v>393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163"/>
    </row>
    <row r="96" ht="15.75" customHeight="1">
      <c r="C96" s="37"/>
      <c r="D96" s="37"/>
      <c r="E96" s="37"/>
      <c r="F96" s="37"/>
      <c r="G96" s="37"/>
      <c r="H96" s="37"/>
      <c r="I96" s="37"/>
      <c r="J96" s="37"/>
      <c r="K96" s="37"/>
      <c r="Q96" s="168" t="s">
        <v>394</v>
      </c>
      <c r="R96" s="169"/>
      <c r="S96" s="169"/>
      <c r="U96" s="162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163"/>
    </row>
    <row r="97" ht="15.75" customHeight="1">
      <c r="C97" s="37"/>
      <c r="D97" s="37"/>
      <c r="E97" s="37"/>
      <c r="F97" s="37"/>
      <c r="G97" s="37"/>
      <c r="H97" s="37"/>
      <c r="I97" s="37"/>
      <c r="J97" s="37"/>
      <c r="K97" s="37"/>
      <c r="Q97" s="173"/>
      <c r="R97" s="169"/>
      <c r="S97" s="169"/>
      <c r="U97" s="137" t="s">
        <v>395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163"/>
    </row>
    <row r="98" ht="15.75" customHeight="1">
      <c r="C98" s="37"/>
      <c r="D98" s="37"/>
      <c r="E98" s="37"/>
      <c r="F98" s="37"/>
      <c r="G98" s="37"/>
      <c r="H98" s="37"/>
      <c r="I98" s="37"/>
      <c r="J98" s="37"/>
      <c r="K98" s="37"/>
      <c r="Q98" s="173" t="s">
        <v>396</v>
      </c>
      <c r="R98" s="169"/>
      <c r="S98" s="169"/>
      <c r="U98" s="184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163"/>
    </row>
    <row r="99" ht="15.75" customHeight="1">
      <c r="C99" s="37"/>
      <c r="D99" s="37"/>
      <c r="E99" s="37"/>
      <c r="F99" s="37"/>
      <c r="G99" s="37"/>
      <c r="H99" s="37"/>
      <c r="I99" s="37"/>
      <c r="J99" s="37"/>
      <c r="K99" s="37"/>
      <c r="Q99" s="173"/>
      <c r="R99" s="169"/>
      <c r="S99" s="169"/>
      <c r="U99" s="184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163"/>
    </row>
    <row r="100" ht="15.75" customHeight="1">
      <c r="C100" s="37"/>
      <c r="D100" s="37"/>
      <c r="E100" s="37"/>
      <c r="F100" s="37"/>
      <c r="G100" s="37"/>
      <c r="H100" s="37"/>
      <c r="I100" s="37"/>
      <c r="J100" s="37"/>
      <c r="K100" s="37"/>
      <c r="Q100" s="173" t="s">
        <v>397</v>
      </c>
      <c r="R100" s="169"/>
      <c r="S100" s="169"/>
      <c r="U100" s="186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6"/>
    </row>
    <row r="101" ht="15.75" customHeight="1">
      <c r="C101" s="37"/>
      <c r="D101" s="37"/>
      <c r="E101" s="37"/>
      <c r="F101" s="37"/>
      <c r="G101" s="37"/>
      <c r="H101" s="37"/>
      <c r="I101" s="37"/>
      <c r="J101" s="37"/>
      <c r="K101" s="37"/>
      <c r="Q101" s="173"/>
      <c r="R101" s="169"/>
      <c r="S101" s="169"/>
    </row>
    <row r="102" ht="15.75" customHeight="1">
      <c r="Q102" s="187" t="s">
        <v>398</v>
      </c>
      <c r="R102" s="169"/>
      <c r="S102" s="169"/>
    </row>
    <row r="103" ht="15.75" customHeight="1">
      <c r="Q103" s="169"/>
      <c r="R103" s="169"/>
      <c r="S103" s="169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36:D3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8.75"/>
    <col customWidth="1" min="10" max="10" width="16.38"/>
    <col customWidth="1" min="11" max="11" width="17.0"/>
    <col customWidth="1" min="12" max="12" width="24.88"/>
    <col customWidth="1" min="13" max="13" width="15.0"/>
    <col customWidth="1" min="14" max="14" width="14.25"/>
    <col customWidth="1" min="15" max="15" width="14.88"/>
    <col customWidth="1" min="16" max="16" width="15.5"/>
    <col customWidth="1" min="17" max="17" width="25.25"/>
    <col customWidth="1" min="18" max="18" width="13.88"/>
    <col customWidth="1" min="19" max="26" width="8.75"/>
  </cols>
  <sheetData>
    <row r="1">
      <c r="A1" s="6" t="s">
        <v>399</v>
      </c>
      <c r="M1" s="122" t="s">
        <v>400</v>
      </c>
    </row>
    <row r="2">
      <c r="A2" s="6" t="s">
        <v>401</v>
      </c>
    </row>
    <row r="3">
      <c r="A3" s="82"/>
      <c r="M3" s="54">
        <v>1.0</v>
      </c>
      <c r="N3" s="3" t="s">
        <v>402</v>
      </c>
    </row>
    <row r="4">
      <c r="A4" s="86" t="s">
        <v>403</v>
      </c>
      <c r="M4" s="54">
        <v>2.0</v>
      </c>
      <c r="N4" s="3" t="s">
        <v>404</v>
      </c>
    </row>
    <row r="5">
      <c r="A5" s="82"/>
      <c r="M5" s="54">
        <v>3.0</v>
      </c>
      <c r="N5" s="3" t="s">
        <v>405</v>
      </c>
    </row>
    <row r="6">
      <c r="A6" s="86" t="s">
        <v>406</v>
      </c>
      <c r="M6" s="54">
        <v>4.0</v>
      </c>
      <c r="N6" s="3" t="s">
        <v>407</v>
      </c>
    </row>
    <row r="7">
      <c r="M7" s="54">
        <v>5.0</v>
      </c>
      <c r="N7" s="3" t="s">
        <v>408</v>
      </c>
    </row>
    <row r="8">
      <c r="B8" s="95"/>
      <c r="C8" s="95"/>
      <c r="D8" s="95"/>
      <c r="E8" s="95"/>
      <c r="F8" s="95"/>
      <c r="G8" s="95"/>
      <c r="H8" s="95"/>
      <c r="I8" s="95"/>
      <c r="J8" s="95"/>
      <c r="M8" s="54">
        <v>6.0</v>
      </c>
      <c r="N8" s="3" t="s">
        <v>409</v>
      </c>
    </row>
    <row r="9">
      <c r="B9" s="37"/>
      <c r="C9" s="37"/>
      <c r="D9" s="37"/>
      <c r="E9" s="37"/>
      <c r="F9" s="37"/>
      <c r="G9" s="37"/>
      <c r="H9" s="37"/>
      <c r="I9" s="37"/>
      <c r="J9" s="37"/>
    </row>
    <row r="10">
      <c r="B10" s="37"/>
      <c r="C10" s="37"/>
      <c r="D10" s="37"/>
      <c r="E10" s="37"/>
      <c r="F10" s="37"/>
      <c r="G10" s="37"/>
      <c r="H10" s="37"/>
      <c r="I10" s="37"/>
      <c r="J10" s="37"/>
    </row>
    <row r="11">
      <c r="B11" s="37"/>
      <c r="C11" s="37"/>
      <c r="D11" s="37"/>
      <c r="E11" s="37"/>
      <c r="F11" s="37"/>
      <c r="G11" s="37"/>
      <c r="H11" s="37"/>
      <c r="I11" s="37"/>
      <c r="J11" s="37"/>
      <c r="N11" s="95"/>
      <c r="O11" s="95"/>
      <c r="P11" s="95"/>
      <c r="Q11" s="95"/>
      <c r="R11" s="95"/>
      <c r="S11" s="95"/>
      <c r="T11" s="95"/>
      <c r="U11" s="95"/>
      <c r="V11" s="95"/>
    </row>
    <row r="12">
      <c r="B12" s="37"/>
      <c r="C12" s="37"/>
      <c r="D12" s="37"/>
      <c r="E12" s="37"/>
      <c r="F12" s="37"/>
      <c r="G12" s="37"/>
      <c r="H12" s="37"/>
      <c r="I12" s="37"/>
      <c r="J12" s="37"/>
      <c r="N12" s="37"/>
      <c r="O12" s="37"/>
      <c r="P12" s="37"/>
      <c r="Q12" s="37"/>
      <c r="R12" s="37"/>
      <c r="S12" s="37"/>
      <c r="T12" s="37"/>
      <c r="U12" s="37"/>
      <c r="V12" s="188" t="s">
        <v>410</v>
      </c>
      <c r="W12" s="189"/>
      <c r="X12" s="189"/>
      <c r="Y12" s="189"/>
      <c r="Z12" s="189"/>
    </row>
    <row r="13">
      <c r="B13" s="37"/>
      <c r="C13" s="37"/>
      <c r="D13" s="37"/>
      <c r="E13" s="37"/>
      <c r="F13" s="37"/>
      <c r="G13" s="37"/>
      <c r="H13" s="37"/>
      <c r="I13" s="37"/>
      <c r="J13" s="37"/>
      <c r="N13" s="37"/>
      <c r="O13" s="37"/>
      <c r="P13" s="37"/>
      <c r="Q13" s="37"/>
      <c r="R13" s="37"/>
      <c r="S13" s="37"/>
      <c r="T13" s="37"/>
      <c r="U13" s="37"/>
      <c r="V13" s="190"/>
    </row>
    <row r="14">
      <c r="B14" s="37"/>
      <c r="C14" s="37"/>
      <c r="D14" s="37"/>
      <c r="E14" s="37"/>
      <c r="F14" s="37"/>
      <c r="G14" s="37"/>
      <c r="H14" s="37"/>
      <c r="I14" s="37"/>
      <c r="J14" s="37"/>
      <c r="N14" s="37"/>
      <c r="O14" s="37"/>
      <c r="P14" s="37"/>
      <c r="Q14" s="37"/>
      <c r="R14" s="37"/>
      <c r="S14" s="37"/>
      <c r="T14" s="37"/>
      <c r="U14" s="37"/>
      <c r="V14" s="190"/>
    </row>
    <row r="15">
      <c r="B15" s="37"/>
      <c r="C15" s="37"/>
      <c r="D15" s="37"/>
      <c r="E15" s="37"/>
      <c r="F15" s="37"/>
      <c r="G15" s="37"/>
      <c r="H15" s="37"/>
      <c r="I15" s="37"/>
      <c r="J15" s="37"/>
      <c r="N15" s="37"/>
      <c r="O15" s="37"/>
      <c r="P15" s="37"/>
      <c r="Q15" s="37"/>
      <c r="R15" s="37"/>
      <c r="S15" s="37"/>
      <c r="T15" s="37"/>
      <c r="U15" s="37"/>
      <c r="V15" s="190"/>
    </row>
    <row r="16">
      <c r="B16" s="37"/>
      <c r="C16" s="37"/>
      <c r="D16" s="37"/>
      <c r="E16" s="37"/>
      <c r="F16" s="37"/>
      <c r="G16" s="37"/>
      <c r="H16" s="37"/>
      <c r="I16" s="37"/>
      <c r="J16" s="37"/>
      <c r="N16" s="37"/>
      <c r="O16" s="37"/>
      <c r="P16" s="37"/>
      <c r="Q16" s="37"/>
      <c r="R16" s="37"/>
      <c r="S16" s="37"/>
      <c r="T16" s="37"/>
      <c r="U16" s="37"/>
      <c r="V16" s="37"/>
    </row>
    <row r="17">
      <c r="B17" s="37"/>
      <c r="C17" s="37"/>
      <c r="D17" s="37"/>
      <c r="E17" s="37"/>
      <c r="F17" s="37"/>
      <c r="G17" s="37"/>
      <c r="H17" s="37"/>
      <c r="I17" s="37"/>
      <c r="J17" s="37"/>
      <c r="N17" s="37"/>
      <c r="O17" s="37"/>
      <c r="P17" s="37"/>
      <c r="Q17" s="37"/>
      <c r="R17" s="37"/>
      <c r="S17" s="37"/>
      <c r="T17" s="37"/>
      <c r="U17" s="37"/>
      <c r="V17" s="37"/>
    </row>
    <row r="18">
      <c r="B18" s="37"/>
      <c r="C18" s="37"/>
      <c r="D18" s="37"/>
      <c r="E18" s="37"/>
      <c r="F18" s="37"/>
      <c r="G18" s="37"/>
      <c r="H18" s="37"/>
      <c r="I18" s="37"/>
      <c r="J18" s="37"/>
      <c r="N18" s="37"/>
      <c r="O18" s="37"/>
      <c r="P18" s="37"/>
      <c r="Q18" s="37"/>
      <c r="R18" s="37"/>
      <c r="S18" s="37"/>
      <c r="T18" s="37"/>
      <c r="U18" s="37"/>
      <c r="V18" s="37"/>
    </row>
    <row r="19">
      <c r="B19" s="37"/>
      <c r="C19" s="37"/>
      <c r="D19" s="37"/>
      <c r="E19" s="37"/>
      <c r="F19" s="37"/>
      <c r="G19" s="37"/>
      <c r="H19" s="37"/>
      <c r="I19" s="37"/>
      <c r="J19" s="37"/>
      <c r="N19" s="37"/>
      <c r="O19" s="37"/>
      <c r="P19" s="37"/>
      <c r="Q19" s="37"/>
      <c r="R19" s="37"/>
      <c r="S19" s="37"/>
      <c r="T19" s="37"/>
      <c r="U19" s="37"/>
      <c r="V19" s="37"/>
    </row>
    <row r="20">
      <c r="B20" s="37"/>
      <c r="C20" s="37"/>
      <c r="D20" s="37"/>
      <c r="E20" s="37"/>
      <c r="F20" s="37"/>
      <c r="G20" s="37"/>
      <c r="H20" s="37"/>
      <c r="I20" s="37"/>
      <c r="J20" s="37"/>
      <c r="N20" s="37"/>
      <c r="O20" s="37"/>
      <c r="P20" s="37"/>
      <c r="Q20" s="37"/>
      <c r="R20" s="37"/>
      <c r="S20" s="37"/>
      <c r="T20" s="37"/>
      <c r="U20" s="37"/>
      <c r="V20" s="37"/>
    </row>
    <row r="21" ht="15.75" customHeight="1">
      <c r="B21" s="6" t="s">
        <v>411</v>
      </c>
      <c r="N21" s="37"/>
      <c r="O21" s="37"/>
      <c r="P21" s="37"/>
      <c r="Q21" s="37"/>
      <c r="R21" s="37"/>
      <c r="S21" s="37"/>
      <c r="T21" s="37"/>
      <c r="U21" s="37"/>
      <c r="V21" s="37"/>
    </row>
    <row r="22" ht="15.75" customHeight="1">
      <c r="B22" s="82"/>
      <c r="N22" s="37"/>
      <c r="O22" s="37"/>
      <c r="P22" s="37"/>
      <c r="Q22" s="37"/>
      <c r="R22" s="37"/>
      <c r="S22" s="37"/>
      <c r="T22" s="37"/>
      <c r="U22" s="37"/>
      <c r="V22" s="37"/>
    </row>
    <row r="23" ht="15.75" customHeight="1">
      <c r="B23" s="82" t="s">
        <v>412</v>
      </c>
      <c r="N23" s="37"/>
      <c r="O23" s="37"/>
      <c r="P23" s="37"/>
      <c r="Q23" s="37"/>
      <c r="R23" s="37"/>
      <c r="S23" s="37"/>
      <c r="T23" s="37"/>
      <c r="U23" s="37"/>
      <c r="V23" s="37"/>
    </row>
    <row r="24" ht="15.75" customHeight="1">
      <c r="B24" s="82"/>
    </row>
    <row r="25" ht="15.75" customHeight="1">
      <c r="B25" s="82" t="s">
        <v>413</v>
      </c>
      <c r="J25" s="156"/>
      <c r="K25" s="123" t="s">
        <v>267</v>
      </c>
      <c r="L25" s="123" t="s">
        <v>282</v>
      </c>
      <c r="M25" s="123" t="s">
        <v>293</v>
      </c>
      <c r="N25" s="123" t="s">
        <v>294</v>
      </c>
      <c r="O25" s="123" t="s">
        <v>295</v>
      </c>
      <c r="P25" s="123" t="s">
        <v>296</v>
      </c>
      <c r="Q25" s="123" t="s">
        <v>349</v>
      </c>
      <c r="R25" s="123" t="s">
        <v>350</v>
      </c>
    </row>
    <row r="26" ht="15.75" customHeight="1">
      <c r="B26" s="82"/>
      <c r="J26" s="117" t="s">
        <v>269</v>
      </c>
      <c r="K26" s="128">
        <v>52.00000000000001</v>
      </c>
      <c r="L26" s="128">
        <v>10.636863125135019</v>
      </c>
      <c r="M26" s="128">
        <v>4.888659315087309</v>
      </c>
      <c r="N26" s="128">
        <v>0.03938722105291401</v>
      </c>
      <c r="O26" s="128">
        <v>6.233271838666411</v>
      </c>
      <c r="P26" s="128">
        <v>97.7667281613336</v>
      </c>
      <c r="Q26" s="128">
        <v>6.233271838666411</v>
      </c>
      <c r="R26" s="128">
        <v>97.7667281613336</v>
      </c>
    </row>
    <row r="27" ht="15.75" customHeight="1">
      <c r="B27" s="82" t="s">
        <v>414</v>
      </c>
      <c r="J27" s="117" t="s">
        <v>301</v>
      </c>
      <c r="K27" s="128">
        <v>0.0</v>
      </c>
      <c r="L27" s="128">
        <v>0.0</v>
      </c>
      <c r="M27" s="128">
        <v>65535.0</v>
      </c>
      <c r="N27" s="158" t="e">
        <v>#NUM!</v>
      </c>
      <c r="O27" s="128">
        <v>0.0</v>
      </c>
      <c r="P27" s="128">
        <v>0.0</v>
      </c>
      <c r="Q27" s="128">
        <v>0.0</v>
      </c>
      <c r="R27" s="128">
        <v>0.0</v>
      </c>
    </row>
    <row r="28" ht="15.75" customHeight="1">
      <c r="B28" s="82"/>
      <c r="J28" s="117" t="s">
        <v>310</v>
      </c>
      <c r="K28" s="128">
        <v>1.2857142857142847</v>
      </c>
      <c r="L28" s="128">
        <v>4.237827706911807</v>
      </c>
      <c r="M28" s="128">
        <v>0.30338993810845877</v>
      </c>
      <c r="N28" s="158" t="e">
        <v>#NUM!</v>
      </c>
      <c r="O28" s="128">
        <v>-16.94818666563771</v>
      </c>
      <c r="P28" s="128">
        <v>19.51961523706628</v>
      </c>
      <c r="Q28" s="128">
        <v>-16.94818666563771</v>
      </c>
      <c r="R28" s="128">
        <v>19.51961523706628</v>
      </c>
    </row>
    <row r="29" ht="15.75" customHeight="1">
      <c r="B29" s="82"/>
      <c r="J29" s="117" t="s">
        <v>311</v>
      </c>
      <c r="K29" s="128">
        <v>0.0</v>
      </c>
      <c r="L29" s="128">
        <v>0.0</v>
      </c>
      <c r="M29" s="128">
        <v>65535.0</v>
      </c>
      <c r="N29" s="158" t="e">
        <v>#NUM!</v>
      </c>
      <c r="O29" s="128">
        <v>0.0</v>
      </c>
      <c r="P29" s="128">
        <v>0.0</v>
      </c>
      <c r="Q29" s="128">
        <v>0.0</v>
      </c>
      <c r="R29" s="128">
        <v>0.0</v>
      </c>
    </row>
    <row r="30" ht="15.75" customHeight="1">
      <c r="B30" s="82"/>
      <c r="J30" s="117" t="s">
        <v>312</v>
      </c>
      <c r="K30" s="128">
        <v>3.2857142857142847</v>
      </c>
      <c r="L30" s="128">
        <v>6.565214453186319</v>
      </c>
      <c r="M30" s="128">
        <v>0.5004732608726311</v>
      </c>
      <c r="N30" s="158" t="e">
        <v>#NUM!</v>
      </c>
      <c r="O30" s="128">
        <v>-24.962123602678464</v>
      </c>
      <c r="P30" s="128">
        <v>31.533552174107033</v>
      </c>
      <c r="Q30" s="128">
        <v>-24.962123602678464</v>
      </c>
      <c r="R30" s="128">
        <v>31.533552174107033</v>
      </c>
    </row>
    <row r="31" ht="15.75" customHeight="1">
      <c r="B31" s="82" t="s">
        <v>415</v>
      </c>
      <c r="J31" s="117" t="s">
        <v>313</v>
      </c>
      <c r="K31" s="128">
        <v>7.142857142857139</v>
      </c>
      <c r="L31" s="128">
        <v>9.284615319583954</v>
      </c>
      <c r="M31" s="128">
        <v>0.7693218186208292</v>
      </c>
      <c r="N31" s="128">
        <v>0.5221378750629038</v>
      </c>
      <c r="O31" s="128">
        <v>-32.80561830662445</v>
      </c>
      <c r="P31" s="128">
        <v>47.09133259233873</v>
      </c>
      <c r="Q31" s="128">
        <v>-32.80561830662445</v>
      </c>
      <c r="R31" s="128">
        <v>47.09133259233873</v>
      </c>
    </row>
    <row r="32" ht="15.75" customHeight="1">
      <c r="B32" s="82"/>
      <c r="J32" s="117" t="s">
        <v>308</v>
      </c>
      <c r="K32" s="128">
        <v>0.8571428571428559</v>
      </c>
      <c r="L32" s="128">
        <v>5.99319341811515</v>
      </c>
      <c r="M32" s="128">
        <v>0.14301938838683867</v>
      </c>
      <c r="N32" s="128">
        <v>0.8993832293641693</v>
      </c>
      <c r="O32" s="128">
        <v>-24.929487163226817</v>
      </c>
      <c r="P32" s="128">
        <v>26.643772877512525</v>
      </c>
      <c r="Q32" s="128">
        <v>-24.929487163226817</v>
      </c>
      <c r="R32" s="128">
        <v>26.643772877512525</v>
      </c>
    </row>
    <row r="33" ht="15.75" customHeight="1">
      <c r="B33" s="82" t="s">
        <v>416</v>
      </c>
      <c r="J33" s="117" t="s">
        <v>309</v>
      </c>
      <c r="K33" s="128">
        <v>-2.5714285714285725</v>
      </c>
      <c r="L33" s="128">
        <v>4.6423076597919755</v>
      </c>
      <c r="M33" s="128">
        <v>-0.5539117094069977</v>
      </c>
      <c r="N33" s="128">
        <v>0.6353015956871011</v>
      </c>
      <c r="O33" s="128">
        <v>-22.54566629616936</v>
      </c>
      <c r="P33" s="128">
        <v>17.402809153312216</v>
      </c>
      <c r="Q33" s="128">
        <v>-22.54566629616936</v>
      </c>
      <c r="R33" s="128">
        <v>17.402809153312216</v>
      </c>
    </row>
    <row r="34" ht="15.75" customHeight="1">
      <c r="B34" s="82"/>
      <c r="J34" s="117" t="s">
        <v>314</v>
      </c>
      <c r="K34" s="128">
        <v>0.0</v>
      </c>
      <c r="L34" s="128">
        <v>0.0</v>
      </c>
      <c r="M34" s="128">
        <v>65535.0</v>
      </c>
      <c r="N34" s="158" t="e">
        <v>#NUM!</v>
      </c>
      <c r="O34" s="128">
        <v>0.0</v>
      </c>
      <c r="P34" s="128">
        <v>0.0</v>
      </c>
      <c r="Q34" s="128">
        <v>0.0</v>
      </c>
      <c r="R34" s="128">
        <v>0.0</v>
      </c>
    </row>
    <row r="35" ht="15.75" customHeight="1">
      <c r="B35" s="82" t="s">
        <v>417</v>
      </c>
      <c r="J35" s="117" t="s">
        <v>315</v>
      </c>
      <c r="K35" s="128">
        <v>0.0</v>
      </c>
      <c r="L35" s="128">
        <v>0.0</v>
      </c>
      <c r="M35" s="128">
        <v>65535.0</v>
      </c>
      <c r="N35" s="158" t="e">
        <v>#NUM!</v>
      </c>
      <c r="O35" s="128">
        <v>0.0</v>
      </c>
      <c r="P35" s="128">
        <v>0.0</v>
      </c>
      <c r="Q35" s="128">
        <v>0.0</v>
      </c>
      <c r="R35" s="128">
        <v>0.0</v>
      </c>
    </row>
    <row r="36" ht="15.75" customHeight="1">
      <c r="J36" s="117" t="s">
        <v>316</v>
      </c>
      <c r="K36" s="128">
        <v>-1.1428571428571446</v>
      </c>
      <c r="L36" s="128">
        <v>3.28260722659316</v>
      </c>
      <c r="M36" s="128">
        <v>-0.34815531191139615</v>
      </c>
      <c r="N36" s="158" t="e">
        <v>#NUM!</v>
      </c>
      <c r="O36" s="128">
        <v>-15.26677608705352</v>
      </c>
      <c r="P36" s="128">
        <v>12.981061801339232</v>
      </c>
      <c r="Q36" s="128">
        <v>-15.26677608705352</v>
      </c>
      <c r="R36" s="128">
        <v>12.981061801339232</v>
      </c>
    </row>
    <row r="37" ht="15.75" customHeight="1">
      <c r="J37" s="117" t="s">
        <v>304</v>
      </c>
      <c r="K37" s="128">
        <v>0.2857142857142849</v>
      </c>
      <c r="L37" s="128">
        <v>4.2378277069118075</v>
      </c>
      <c r="M37" s="128">
        <v>0.06741998624632402</v>
      </c>
      <c r="N37" s="128">
        <v>0.9523809523809531</v>
      </c>
      <c r="O37" s="128">
        <v>-17.948186665637714</v>
      </c>
      <c r="P37" s="128">
        <v>18.519615237066283</v>
      </c>
      <c r="Q37" s="128">
        <v>-17.948186665637714</v>
      </c>
      <c r="R37" s="128">
        <v>18.519615237066283</v>
      </c>
    </row>
    <row r="38" ht="15.75" customHeight="1">
      <c r="J38" s="117" t="s">
        <v>305</v>
      </c>
      <c r="K38" s="128">
        <v>0.0</v>
      </c>
      <c r="L38" s="128">
        <v>0.0</v>
      </c>
      <c r="M38" s="128">
        <v>65535.0</v>
      </c>
      <c r="N38" s="158" t="e">
        <v>#NUM!</v>
      </c>
      <c r="O38" s="128">
        <v>0.0</v>
      </c>
      <c r="P38" s="128">
        <v>0.0</v>
      </c>
      <c r="Q38" s="128">
        <v>0.0</v>
      </c>
      <c r="R38" s="128">
        <v>0.0</v>
      </c>
    </row>
    <row r="39" ht="15.75" customHeight="1">
      <c r="J39" s="141" t="s">
        <v>317</v>
      </c>
      <c r="K39" s="142">
        <v>0.0</v>
      </c>
      <c r="L39" s="142">
        <v>0.0</v>
      </c>
      <c r="M39" s="142">
        <v>65535.0</v>
      </c>
      <c r="N39" s="172" t="e">
        <v>#NUM!</v>
      </c>
      <c r="O39" s="142">
        <v>0.0</v>
      </c>
      <c r="P39" s="142">
        <v>0.0</v>
      </c>
      <c r="Q39" s="142">
        <v>0.0</v>
      </c>
      <c r="R39" s="142">
        <v>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V12:Z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2025-05-07T01:41:16Z</dcterms:created>
  <dc:creator>Ama</dc:creator>
</cp:coreProperties>
</file>